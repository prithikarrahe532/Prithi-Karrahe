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Sourav\Desktop\"/>
    </mc:Choice>
  </mc:AlternateContent>
  <xr:revisionPtr revIDLastSave="0" documentId="13_ncr:1_{78BFBA2B-3C18-46FB-B607-9CCD6B691ED9}" xr6:coauthVersionLast="47" xr6:coauthVersionMax="47" xr10:uidLastSave="{00000000-0000-0000-0000-000000000000}"/>
  <bookViews>
    <workbookView xWindow="-108" yWindow="-108" windowWidth="23256" windowHeight="13176" activeTab="2" xr2:uid="{5E11D817-7A03-4848-BC2A-7FC2B74E002A}"/>
  </bookViews>
  <sheets>
    <sheet name="sales_profit" sheetId="1" r:id="rId1"/>
    <sheet name="Pivot_table" sheetId="3" r:id="rId2"/>
    <sheet name="Dashboard" sheetId="2" r:id="rId3"/>
  </sheets>
  <definedNames>
    <definedName name="_xlchart.v2.0" hidden="1">Pivot_table!$F$6:$F$17</definedName>
    <definedName name="_xlchart.v2.1" hidden="1">Pivot_table!$G$5</definedName>
    <definedName name="_xlchart.v2.2" hidden="1">Pivot_table!$G$6:$G$17</definedName>
    <definedName name="Slicer_Categor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 l="1"/>
  <c r="F7" i="3"/>
  <c r="F8" i="3"/>
  <c r="F9" i="3"/>
  <c r="F10" i="3"/>
  <c r="F11" i="3"/>
  <c r="F12" i="3"/>
  <c r="F13" i="3"/>
  <c r="F14" i="3"/>
  <c r="F15" i="3"/>
  <c r="F16" i="3"/>
  <c r="F6" i="3"/>
  <c r="B4" i="3"/>
  <c r="B8" i="3"/>
  <c r="G13" i="3"/>
  <c r="G16" i="3"/>
  <c r="G14" i="3"/>
  <c r="G6" i="3"/>
  <c r="G8" i="3"/>
  <c r="G9" i="3"/>
  <c r="G10" i="3"/>
  <c r="G17" i="3"/>
  <c r="G15" i="3"/>
  <c r="G12" i="3"/>
  <c r="G7" i="3"/>
  <c r="G11" i="3"/>
</calcChain>
</file>

<file path=xl/sharedStrings.xml><?xml version="1.0" encoding="utf-8"?>
<sst xmlns="http://schemas.openxmlformats.org/spreadsheetml/2006/main" count="1007" uniqueCount="253">
  <si>
    <t>Order Date</t>
  </si>
  <si>
    <t>Customer Name</t>
  </si>
  <si>
    <t>Category</t>
  </si>
  <si>
    <t>Sub-Category</t>
  </si>
  <si>
    <t>Quantity</t>
  </si>
  <si>
    <t>Month</t>
  </si>
  <si>
    <t>Year</t>
  </si>
  <si>
    <t>Jason Ruiz</t>
  </si>
  <si>
    <t>Odisha</t>
  </si>
  <si>
    <t>Office Supplies</t>
  </si>
  <si>
    <t>Labels</t>
  </si>
  <si>
    <t>May</t>
  </si>
  <si>
    <t>Amanda Perry</t>
  </si>
  <si>
    <t>Delhi</t>
  </si>
  <si>
    <t>Furniture</t>
  </si>
  <si>
    <t>Furnishings</t>
  </si>
  <si>
    <t>February</t>
  </si>
  <si>
    <t>Jeremy Mendez</t>
  </si>
  <si>
    <t>Uttar Pradesh</t>
  </si>
  <si>
    <t>April</t>
  </si>
  <si>
    <t>Ann Meyer</t>
  </si>
  <si>
    <t>Bookcases</t>
  </si>
  <si>
    <t>October</t>
  </si>
  <si>
    <t>Kristin Hunt</t>
  </si>
  <si>
    <t>Technology</t>
  </si>
  <si>
    <t>Monitors</t>
  </si>
  <si>
    <t>July</t>
  </si>
  <si>
    <t>Melissa Cook</t>
  </si>
  <si>
    <t>Rajasthan</t>
  </si>
  <si>
    <t>Envelopes</t>
  </si>
  <si>
    <t>December</t>
  </si>
  <si>
    <t>Nicole Reynolds</t>
  </si>
  <si>
    <t>Tamil Nadu</t>
  </si>
  <si>
    <t>Robert Leon</t>
  </si>
  <si>
    <t>Bihar</t>
  </si>
  <si>
    <t>Binders</t>
  </si>
  <si>
    <t>Michael Cortez</t>
  </si>
  <si>
    <t>Accessories</t>
  </si>
  <si>
    <t>Michael Frost</t>
  </si>
  <si>
    <t>Punjab</t>
  </si>
  <si>
    <t>August</t>
  </si>
  <si>
    <t>Carlos Turner</t>
  </si>
  <si>
    <t>Kerala</t>
  </si>
  <si>
    <t>Paper</t>
  </si>
  <si>
    <t>June</t>
  </si>
  <si>
    <t>Scott Hunt</t>
  </si>
  <si>
    <t>West Bengal</t>
  </si>
  <si>
    <t>November</t>
  </si>
  <si>
    <t>Bailey Shaw</t>
  </si>
  <si>
    <t>Derrick Estrada</t>
  </si>
  <si>
    <t>Chhattisgarh</t>
  </si>
  <si>
    <t>Margaret Cook</t>
  </si>
  <si>
    <t>Alicia Phillips</t>
  </si>
  <si>
    <t>Kathy Johnson</t>
  </si>
  <si>
    <t>Madhya Pradesh</t>
  </si>
  <si>
    <t>Phones</t>
  </si>
  <si>
    <t>Michael Jackson</t>
  </si>
  <si>
    <t>Chairs</t>
  </si>
  <si>
    <t>Jennifer Carlson</t>
  </si>
  <si>
    <t>Telangana</t>
  </si>
  <si>
    <t>Vincent Webb</t>
  </si>
  <si>
    <t>January</t>
  </si>
  <si>
    <t>Sharon Gilbert</t>
  </si>
  <si>
    <t>Stacy Romero</t>
  </si>
  <si>
    <t>Karnataka</t>
  </si>
  <si>
    <t>September</t>
  </si>
  <si>
    <t>Billy Ayala</t>
  </si>
  <si>
    <t>Sandra Stanton</t>
  </si>
  <si>
    <t>March</t>
  </si>
  <si>
    <t>Michael Johnson</t>
  </si>
  <si>
    <t>Laptops</t>
  </si>
  <si>
    <t>Deborah Moore</t>
  </si>
  <si>
    <t>Maharashtra</t>
  </si>
  <si>
    <t>Travis Woodard</t>
  </si>
  <si>
    <t>Gujarat</t>
  </si>
  <si>
    <t>Tables</t>
  </si>
  <si>
    <t>Robert Booker</t>
  </si>
  <si>
    <t>Lisa Beltran</t>
  </si>
  <si>
    <t>Kelly Brown</t>
  </si>
  <si>
    <t>Roy Smith</t>
  </si>
  <si>
    <t>Daniel White</t>
  </si>
  <si>
    <t>Pamela Simpson</t>
  </si>
  <si>
    <t>Andhra Pradesh</t>
  </si>
  <si>
    <t>Joseph Franco</t>
  </si>
  <si>
    <t>Haryana</t>
  </si>
  <si>
    <t>Steven Davis</t>
  </si>
  <si>
    <t>Amy Simmons DDS</t>
  </si>
  <si>
    <t>Edward Carlson</t>
  </si>
  <si>
    <t>James Dodson</t>
  </si>
  <si>
    <t>Mark Ramos</t>
  </si>
  <si>
    <t>Jennifer Duran</t>
  </si>
  <si>
    <t>Jeffrey Moreno</t>
  </si>
  <si>
    <t>Ruben Bell</t>
  </si>
  <si>
    <t>Shawn Aguilar</t>
  </si>
  <si>
    <t>Michelle Franklin</t>
  </si>
  <si>
    <t>John Young</t>
  </si>
  <si>
    <t>Mark Myers V</t>
  </si>
  <si>
    <t>Tony Glass</t>
  </si>
  <si>
    <t>Jack Hernandez</t>
  </si>
  <si>
    <t>Jacob Flores</t>
  </si>
  <si>
    <t>Michelle Johnson</t>
  </si>
  <si>
    <t>Joseph Fisher</t>
  </si>
  <si>
    <t>Jordan Sparks</t>
  </si>
  <si>
    <t>Scott Delgado</t>
  </si>
  <si>
    <t>Cindy Sexton</t>
  </si>
  <si>
    <t>Assam</t>
  </si>
  <si>
    <t>Steven Bailey</t>
  </si>
  <si>
    <t>Theresa Miller</t>
  </si>
  <si>
    <t>Jeremy Garcia</t>
  </si>
  <si>
    <t>Sandra Phillips</t>
  </si>
  <si>
    <t>Tyler Baker</t>
  </si>
  <si>
    <t>Courtney Krueger</t>
  </si>
  <si>
    <t>Melissa Johnson</t>
  </si>
  <si>
    <t>Travis Simmons</t>
  </si>
  <si>
    <t>Connor Kennedy</t>
  </si>
  <si>
    <t>Gabriella Spencer</t>
  </si>
  <si>
    <t>Erica Walker</t>
  </si>
  <si>
    <t>Jeremy Pineda</t>
  </si>
  <si>
    <t>Jose Brown</t>
  </si>
  <si>
    <t>Ashley Dunn</t>
  </si>
  <si>
    <t>Laura Larsen</t>
  </si>
  <si>
    <t>Kenneth Johnson</t>
  </si>
  <si>
    <t>Julie Rodriguez</t>
  </si>
  <si>
    <t>Mario Jones</t>
  </si>
  <si>
    <t>Bruce Joyce</t>
  </si>
  <si>
    <t>John Glover</t>
  </si>
  <si>
    <t>Tina Lynn</t>
  </si>
  <si>
    <t>Benjamin Baker</t>
  </si>
  <si>
    <t>Brandon Thornton</t>
  </si>
  <si>
    <t>Frank Austin</t>
  </si>
  <si>
    <t>Joshua Atkinson</t>
  </si>
  <si>
    <t>Shelby Johnson</t>
  </si>
  <si>
    <t>Catherine Perez</t>
  </si>
  <si>
    <t>Steven Dixon</t>
  </si>
  <si>
    <t>Destiny Koch</t>
  </si>
  <si>
    <t>Nicole Parsons</t>
  </si>
  <si>
    <t>Zachary Maxwell</t>
  </si>
  <si>
    <t>Brittany Tucker</t>
  </si>
  <si>
    <t>Kimberly Wright</t>
  </si>
  <si>
    <t>Matthew Williams</t>
  </si>
  <si>
    <t>Tara Stone</t>
  </si>
  <si>
    <t>Christina Graham</t>
  </si>
  <si>
    <t>Edward Williams</t>
  </si>
  <si>
    <t>Angela Preston</t>
  </si>
  <si>
    <t>James Martin</t>
  </si>
  <si>
    <t>Dr. Shari Strong</t>
  </si>
  <si>
    <t>Ann Osborne</t>
  </si>
  <si>
    <t>Robert Brown</t>
  </si>
  <si>
    <t>James Holder</t>
  </si>
  <si>
    <t>Patrick Hernandez</t>
  </si>
  <si>
    <t>David Lopez</t>
  </si>
  <si>
    <t>Brittany Nelson</t>
  </si>
  <si>
    <t>Linda Mcmillan</t>
  </si>
  <si>
    <t>Dylan Sparks</t>
  </si>
  <si>
    <t>Amanda May</t>
  </si>
  <si>
    <t>Chad Aguilar</t>
  </si>
  <si>
    <t>Deborah Gutierrez</t>
  </si>
  <si>
    <t>Johnny Cohen</t>
  </si>
  <si>
    <t>Kenneth Frost</t>
  </si>
  <si>
    <t>Chelsea Brown</t>
  </si>
  <si>
    <t>Judith Lawson</t>
  </si>
  <si>
    <t>Richard Werner</t>
  </si>
  <si>
    <t>Timothy Hodges</t>
  </si>
  <si>
    <t>Michael Gibson</t>
  </si>
  <si>
    <t>Anna Gonzalez</t>
  </si>
  <si>
    <t>Rebecca Baird</t>
  </si>
  <si>
    <t>Alexander Watson</t>
  </si>
  <si>
    <t>Sharon Johnson</t>
  </si>
  <si>
    <t>Matthew Rogers</t>
  </si>
  <si>
    <t>Craig Williams</t>
  </si>
  <si>
    <t>Kaitlyn Contreras</t>
  </si>
  <si>
    <t>Jeffrey Evans</t>
  </si>
  <si>
    <t>Michaela Houston</t>
  </si>
  <si>
    <t>David Floyd</t>
  </si>
  <si>
    <t>Kathleen Roberson</t>
  </si>
  <si>
    <t>Jeremy Watson</t>
  </si>
  <si>
    <t>Kaylee Brewer</t>
  </si>
  <si>
    <t>Janice Cole</t>
  </si>
  <si>
    <t>Laura Hall</t>
  </si>
  <si>
    <t>Ariel Campos</t>
  </si>
  <si>
    <t>Andrew Bennett</t>
  </si>
  <si>
    <t>Melinda Scott</t>
  </si>
  <si>
    <t>David May</t>
  </si>
  <si>
    <t>Kathleen Hatfield</t>
  </si>
  <si>
    <t>Kimberly Todd</t>
  </si>
  <si>
    <t>Alyssa Rice</t>
  </si>
  <si>
    <t>Renee Mckay</t>
  </si>
  <si>
    <t>Matthew Boyd</t>
  </si>
  <si>
    <t>Michael Stanley</t>
  </si>
  <si>
    <t>Stacey Clark</t>
  </si>
  <si>
    <t>Anna Garcia</t>
  </si>
  <si>
    <t>Adam Lewis</t>
  </si>
  <si>
    <t>Jennifer Clayton</t>
  </si>
  <si>
    <t>Johnathan Mitchell</t>
  </si>
  <si>
    <t>Erik Allen</t>
  </si>
  <si>
    <t>Michelle Ryan</t>
  </si>
  <si>
    <t>Makayla Davis</t>
  </si>
  <si>
    <t>Marc Wilson</t>
  </si>
  <si>
    <t>Barbara Herrera</t>
  </si>
  <si>
    <t>Patricia Atkinson</t>
  </si>
  <si>
    <t>Kelly Higgins</t>
  </si>
  <si>
    <t>Breanna Foster</t>
  </si>
  <si>
    <t>Kristina Evans</t>
  </si>
  <si>
    <t>Laura Dodson</t>
  </si>
  <si>
    <t>Hannah Hardin</t>
  </si>
  <si>
    <t>Christina Yang</t>
  </si>
  <si>
    <t>Thomas Wilson</t>
  </si>
  <si>
    <t>Jacob Mitchell</t>
  </si>
  <si>
    <t>Mr. Corey Thompson</t>
  </si>
  <si>
    <t>Kristen Hernandez</t>
  </si>
  <si>
    <t>Kendra Mcguire</t>
  </si>
  <si>
    <t>Carly Cooke</t>
  </si>
  <si>
    <t>Jacob Powers</t>
  </si>
  <si>
    <t>Peggy Johnson</t>
  </si>
  <si>
    <t>William Hughes</t>
  </si>
  <si>
    <t>Hailey Smith</t>
  </si>
  <si>
    <t>Bradley Wilkins</t>
  </si>
  <si>
    <t>Patrick Mann</t>
  </si>
  <si>
    <t>Zachary Parker</t>
  </si>
  <si>
    <t>Brittney Guerrero</t>
  </si>
  <si>
    <t>Amy Hampton</t>
  </si>
  <si>
    <t>Shawn Gardner</t>
  </si>
  <si>
    <t>Charles Ramos</t>
  </si>
  <si>
    <t>George Holmes</t>
  </si>
  <si>
    <t>Dr. Caleb Frye DDS</t>
  </si>
  <si>
    <t>Kathleen Miller</t>
  </si>
  <si>
    <t>Shirley Phillips</t>
  </si>
  <si>
    <t>William Padilla</t>
  </si>
  <si>
    <t>Scott Gates</t>
  </si>
  <si>
    <t>Sharon Porter</t>
  </si>
  <si>
    <t>Jennifer Hernandez</t>
  </si>
  <si>
    <t>Mrs. Sara Ruiz</t>
  </si>
  <si>
    <t>Scott Thompson</t>
  </si>
  <si>
    <t>Crystal Carpenter</t>
  </si>
  <si>
    <t>sales</t>
  </si>
  <si>
    <t xml:space="preserve">Profit </t>
  </si>
  <si>
    <t>Sum of sales</t>
  </si>
  <si>
    <t xml:space="preserve">Sum of Profit </t>
  </si>
  <si>
    <t>profit by a year</t>
  </si>
  <si>
    <t>Row Labels</t>
  </si>
  <si>
    <t>Grand Total</t>
  </si>
  <si>
    <t>Total sales</t>
  </si>
  <si>
    <t>Total profit</t>
  </si>
  <si>
    <t>sales by sub-category</t>
  </si>
  <si>
    <t>customer count by year</t>
  </si>
  <si>
    <t>Count of Customer Name</t>
  </si>
  <si>
    <t>sales by state</t>
  </si>
  <si>
    <t xml:space="preserve"> State</t>
  </si>
  <si>
    <t>top 5 customers profit</t>
  </si>
  <si>
    <t>sales by month</t>
  </si>
  <si>
    <t>Column Labels</t>
  </si>
  <si>
    <t>SALES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</si>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</sst>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quot;₹&quot;\ * #,##0_ ;_ &quot;₹&quot;\ * \-#,##0_ ;_ &quot;₹&quot;\ * &quot;-&quot;??_ ;_ @_ "/>
    <numFmt numFmtId="165"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0" fontId="16" fillId="33" borderId="0" xfId="0" applyFont="1" applyFill="1"/>
    <xf numFmtId="0" fontId="0" fillId="33" borderId="0" xfId="0" applyFill="1"/>
    <xf numFmtId="165" fontId="0" fillId="0" borderId="0" xfId="0" applyNumberFormat="1"/>
    <xf numFmtId="1"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2">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color theme="0"/>
      </font>
    </dxf>
    <dxf>
      <font>
        <sz val="11"/>
        <color theme="1"/>
      </font>
      <fill>
        <patternFill>
          <bgColor rgb="FF0C769E"/>
        </patternFill>
      </fill>
    </dxf>
    <dxf>
      <font>
        <b/>
        <color theme="1"/>
      </font>
      <border>
        <bottom style="thin">
          <color theme="8"/>
        </bottom>
        <vertical/>
        <horizontal/>
      </border>
    </dxf>
    <dxf>
      <font>
        <color theme="1"/>
      </font>
      <fill>
        <patternFill>
          <bgColor rgb="FF0C769E"/>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veda" pivot="0" table="0" count="10" xr9:uid="{FB78D0B0-BC1F-4168-981F-799287573D27}">
      <tableStyleElement type="wholeTable" dxfId="171"/>
      <tableStyleElement type="headerRow" dxfId="170"/>
    </tableStyle>
    <tableStyle name="vedu" pivot="0" table="0" count="5" xr9:uid="{6F42BEB6-A360-47FE-B2EB-9E099267CB6B}">
      <tableStyleElement type="wholeTable" dxfId="169"/>
      <tableStyleElement type="headerRow" dxfId="168"/>
    </tableStyle>
  </tableStyles>
  <colors>
    <mruColors>
      <color rgb="FF165F7C"/>
      <color rgb="FF0C769E"/>
      <color rgb="FF074F69"/>
    </mruColors>
  </colors>
  <extLst>
    <ext xmlns:x14="http://schemas.microsoft.com/office/spreadsheetml/2009/9/main" uri="{46F421CA-312F-682f-3DD2-61675219B42D}">
      <x14:dxfs count="11">
        <dxf>
          <font>
            <b/>
            <i val="0"/>
            <sz val="11"/>
            <color theme="0"/>
          </font>
          <fill>
            <patternFill>
              <bgColor rgb="FF074F69"/>
            </patternFill>
          </fill>
        </dxf>
        <dxf>
          <fill>
            <patternFill>
              <bgColor theme="7" tint="0.79998168889431442"/>
            </patternFill>
          </fill>
        </dxf>
        <dxf>
          <font>
            <b/>
            <i val="0"/>
            <sz val="11"/>
            <color theme="8" tint="0.79998168889431442"/>
          </font>
          <fill>
            <patternFill>
              <fgColor rgb="FF165F7C"/>
              <bgColor rgb="FF0C769E"/>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veda">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vedu">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[sales_profit.xlsx]Pivot_table!year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ysClr val="windowText" lastClr="000000"/>
                </a:solidFill>
              </a:rPr>
              <a:t>PROFIT BY YEAR</a:t>
            </a:r>
          </a:p>
        </c:rich>
      </c:tx>
      <c:layout>
        <c:manualLayout>
          <c:xMode val="edge"/>
          <c:yMode val="edge"/>
          <c:x val="0.3076330447620964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6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65F7C"/>
          </a:solidFill>
          <a:ln>
            <a:noFill/>
          </a:ln>
          <a:effectLst/>
        </c:spPr>
      </c:pivotFmt>
      <c:pivotFmt>
        <c:idx val="10"/>
        <c:spPr>
          <a:solidFill>
            <a:srgbClr val="165F7C"/>
          </a:solidFill>
          <a:ln>
            <a:noFill/>
          </a:ln>
          <a:effectLst/>
        </c:spPr>
      </c:pivotFmt>
      <c:pivotFmt>
        <c:idx val="11"/>
        <c:spPr>
          <a:solidFill>
            <a:srgbClr val="165F7C"/>
          </a:solidFill>
          <a:ln>
            <a:noFill/>
          </a:ln>
          <a:effectLst/>
        </c:spPr>
        <c:dLbl>
          <c:idx val="0"/>
          <c:layout>
            <c:manualLayout>
              <c:x val="6.8368555945495041E-2"/>
              <c:y val="-9.096355835115383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60000"/>
              <a:lumOff val="40000"/>
            </a:schemeClr>
          </a:solidFill>
          <a:ln>
            <a:noFill/>
          </a:ln>
          <a:effectLst/>
        </c:spPr>
        <c:dLbl>
          <c:idx val="0"/>
          <c:layout>
            <c:manualLayout>
              <c:x val="-3.1076616338861383E-3"/>
              <c:y val="-8.641538043359535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74679551707941E-2"/>
          <c:y val="7.4436106426415002E-2"/>
          <c:w val="0.88995582675258766"/>
          <c:h val="0.67824024078904377"/>
        </c:manualLayout>
      </c:layout>
      <c:barChart>
        <c:barDir val="col"/>
        <c:grouping val="clustered"/>
        <c:varyColors val="0"/>
        <c:ser>
          <c:idx val="0"/>
          <c:order val="0"/>
          <c:tx>
            <c:strRef>
              <c:f>Pivot_table!$D$24:$D$25</c:f>
              <c:strCache>
                <c:ptCount val="1"/>
                <c:pt idx="0">
                  <c:v>Furniture</c:v>
                </c:pt>
              </c:strCache>
            </c:strRef>
          </c:tx>
          <c:spPr>
            <a:solidFill>
              <a:schemeClr val="accent5">
                <a:lumMod val="60000"/>
                <a:lumOff val="40000"/>
              </a:schemeClr>
            </a:solidFill>
            <a:ln>
              <a:noFill/>
            </a:ln>
            <a:effectLst/>
          </c:spPr>
          <c:invertIfNegative val="0"/>
          <c:dPt>
            <c:idx val="0"/>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9-2D3E-43A2-9552-FF53D6DEE3ED}"/>
              </c:ext>
            </c:extLst>
          </c:dPt>
          <c:dLbls>
            <c:dLbl>
              <c:idx val="0"/>
              <c:layout>
                <c:manualLayout>
                  <c:x val="-3.1076616338861383E-3"/>
                  <c:y val="-8.641538043359535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D3E-43A2-9552-FF53D6DEE3E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Pivot_table!$C$26:$C$29</c:f>
              <c:strCache>
                <c:ptCount val="3"/>
                <c:pt idx="0">
                  <c:v>2023</c:v>
                </c:pt>
                <c:pt idx="1">
                  <c:v>2024</c:v>
                </c:pt>
                <c:pt idx="2">
                  <c:v>2025</c:v>
                </c:pt>
              </c:strCache>
            </c:strRef>
          </c:cat>
          <c:val>
            <c:numRef>
              <c:f>Pivot_table!$D$26:$D$29</c:f>
              <c:numCache>
                <c:formatCode>_ "₹"\ * #,##0_ ;_ "₹"\ * \-#,##0_ ;_ "₹"\ * "-"??_ ;_ @_ </c:formatCode>
                <c:ptCount val="3"/>
                <c:pt idx="0">
                  <c:v>19585.150000000001</c:v>
                </c:pt>
                <c:pt idx="1">
                  <c:v>203019.34</c:v>
                </c:pt>
                <c:pt idx="2">
                  <c:v>238822.01000000004</c:v>
                </c:pt>
              </c:numCache>
            </c:numRef>
          </c:val>
          <c:extLst>
            <c:ext xmlns:c16="http://schemas.microsoft.com/office/drawing/2014/chart" uri="{C3380CC4-5D6E-409C-BE32-E72D297353CC}">
              <c16:uniqueId val="{00000000-72EE-4ABC-AC9D-20A6A43AA2C4}"/>
            </c:ext>
          </c:extLst>
        </c:ser>
        <c:ser>
          <c:idx val="1"/>
          <c:order val="1"/>
          <c:tx>
            <c:strRef>
              <c:f>Pivot_table!$E$24:$E$25</c:f>
              <c:strCache>
                <c:ptCount val="1"/>
                <c:pt idx="0">
                  <c:v>Office Supplies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Pivot_table!$C$26:$C$29</c:f>
              <c:strCache>
                <c:ptCount val="3"/>
                <c:pt idx="0">
                  <c:v>2023</c:v>
                </c:pt>
                <c:pt idx="1">
                  <c:v>2024</c:v>
                </c:pt>
                <c:pt idx="2">
                  <c:v>2025</c:v>
                </c:pt>
              </c:strCache>
            </c:strRef>
          </c:cat>
          <c:val>
            <c:numRef>
              <c:f>Pivot_table!$E$26:$E$29</c:f>
              <c:numCache>
                <c:formatCode>_ "₹"\ * #,##0_ ;_ "₹"\ * \-#,##0_ ;_ "₹"\ * "-"??_ ;_ @_ </c:formatCode>
                <c:ptCount val="3"/>
                <c:pt idx="0">
                  <c:v>7685.19</c:v>
                </c:pt>
                <c:pt idx="1">
                  <c:v>286769.80000000005</c:v>
                </c:pt>
                <c:pt idx="2">
                  <c:v>312522.05000000005</c:v>
                </c:pt>
              </c:numCache>
            </c:numRef>
          </c:val>
          <c:extLst>
            <c:ext xmlns:c16="http://schemas.microsoft.com/office/drawing/2014/chart" uri="{C3380CC4-5D6E-409C-BE32-E72D297353CC}">
              <c16:uniqueId val="{00000005-0318-4106-90D8-60878C5ECB7A}"/>
            </c:ext>
          </c:extLst>
        </c:ser>
        <c:ser>
          <c:idx val="2"/>
          <c:order val="2"/>
          <c:tx>
            <c:strRef>
              <c:f>Pivot_table!$F$24:$F$25</c:f>
              <c:strCache>
                <c:ptCount val="1"/>
                <c:pt idx="0">
                  <c:v>Technology</c:v>
                </c:pt>
              </c:strCache>
            </c:strRef>
          </c:tx>
          <c:spPr>
            <a:solidFill>
              <a:srgbClr val="165F7C"/>
            </a:solidFill>
            <a:ln>
              <a:noFill/>
            </a:ln>
            <a:effectLst/>
          </c:spPr>
          <c:invertIfNegative val="0"/>
          <c:dPt>
            <c:idx val="0"/>
            <c:invertIfNegative val="0"/>
            <c:bubble3D val="0"/>
            <c:spPr>
              <a:solidFill>
                <a:srgbClr val="165F7C"/>
              </a:solidFill>
              <a:ln>
                <a:noFill/>
              </a:ln>
              <a:effectLst/>
            </c:spPr>
          </c:dPt>
          <c:dLbls>
            <c:dLbl>
              <c:idx val="0"/>
              <c:layout>
                <c:manualLayout>
                  <c:x val="6.8368555945495041E-2"/>
                  <c:y val="-9.0963558351153835E-3"/>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Pivot_table!$C$26:$C$29</c:f>
              <c:strCache>
                <c:ptCount val="3"/>
                <c:pt idx="0">
                  <c:v>2023</c:v>
                </c:pt>
                <c:pt idx="1">
                  <c:v>2024</c:v>
                </c:pt>
                <c:pt idx="2">
                  <c:v>2025</c:v>
                </c:pt>
              </c:strCache>
            </c:strRef>
          </c:cat>
          <c:val>
            <c:numRef>
              <c:f>Pivot_table!$F$26:$F$29</c:f>
              <c:numCache>
                <c:formatCode>_ "₹"\ * #,##0_ ;_ "₹"\ * \-#,##0_ ;_ "₹"\ * "-"??_ ;_ @_ </c:formatCode>
                <c:ptCount val="3"/>
                <c:pt idx="0">
                  <c:v>9424.2900000000009</c:v>
                </c:pt>
                <c:pt idx="1">
                  <c:v>218671.72</c:v>
                </c:pt>
                <c:pt idx="2">
                  <c:v>369557.66</c:v>
                </c:pt>
              </c:numCache>
            </c:numRef>
          </c:val>
          <c:extLst>
            <c:ext xmlns:c16="http://schemas.microsoft.com/office/drawing/2014/chart" uri="{C3380CC4-5D6E-409C-BE32-E72D297353CC}">
              <c16:uniqueId val="{00000006-0318-4106-90D8-60878C5ECB7A}"/>
            </c:ext>
          </c:extLst>
        </c:ser>
        <c:dLbls>
          <c:dLblPos val="outEnd"/>
          <c:showLegendKey val="0"/>
          <c:showVal val="1"/>
          <c:showCatName val="0"/>
          <c:showSerName val="0"/>
          <c:showPercent val="0"/>
          <c:showBubbleSize val="0"/>
        </c:dLbls>
        <c:gapWidth val="150"/>
        <c:axId val="1254818400"/>
        <c:axId val="1254820800"/>
      </c:barChart>
      <c:catAx>
        <c:axId val="125481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820800"/>
        <c:crosses val="autoZero"/>
        <c:auto val="1"/>
        <c:lblAlgn val="ctr"/>
        <c:lblOffset val="100"/>
        <c:noMultiLvlLbl val="0"/>
      </c:catAx>
      <c:valAx>
        <c:axId val="1254820800"/>
        <c:scaling>
          <c:orientation val="minMax"/>
        </c:scaling>
        <c:delete val="1"/>
        <c:axPos val="l"/>
        <c:numFmt formatCode="_ &quot;₹&quot;\ * #,##0_ ;_ &quot;₹&quot;\ * \-#,##0_ ;_ &quot;₹&quot;\ * &quot;-&quot;??_ ;_ @_ " sourceLinked="1"/>
        <c:majorTickMark val="none"/>
        <c:minorTickMark val="none"/>
        <c:tickLblPos val="nextTo"/>
        <c:crossAx val="1254818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[sales_profit.xlsx]Pivot_table!customer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rPr>
              <a:t>CUSTOMER COUNT</a:t>
            </a:r>
          </a:p>
        </c:rich>
      </c:tx>
      <c:layout>
        <c:manualLayout>
          <c:xMode val="edge"/>
          <c:yMode val="edge"/>
          <c:x val="0.29509404534631745"/>
          <c:y val="1.1067142699040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20000"/>
              <a:lumOff val="80000"/>
            </a:schemeClr>
          </a:solidFill>
          <a:ln w="19050">
            <a:noFill/>
          </a:ln>
          <a:effectLst/>
        </c:spPr>
      </c:pivotFmt>
      <c:pivotFmt>
        <c:idx val="7"/>
        <c:spPr>
          <a:solidFill>
            <a:schemeClr val="accent5">
              <a:lumMod val="75000"/>
            </a:schemeClr>
          </a:solidFill>
          <a:ln w="19050">
            <a:noFill/>
          </a:ln>
          <a:effectLst/>
        </c:spPr>
      </c:pivotFmt>
      <c:pivotFmt>
        <c:idx val="8"/>
        <c:spPr>
          <a:solidFill>
            <a:schemeClr val="accent5">
              <a:lumMod val="50000"/>
            </a:schemeClr>
          </a:solidFill>
          <a:ln w="19050">
            <a:noFill/>
          </a:ln>
          <a:effectLst/>
        </c:spPr>
      </c:pivotFmt>
    </c:pivotFmts>
    <c:plotArea>
      <c:layout>
        <c:manualLayout>
          <c:layoutTarget val="inner"/>
          <c:xMode val="edge"/>
          <c:yMode val="edge"/>
          <c:x val="0.21642911885277519"/>
          <c:y val="0.15082488972472302"/>
          <c:w val="0.50584593939830369"/>
          <c:h val="0.84917511027527692"/>
        </c:manualLayout>
      </c:layout>
      <c:doughnutChart>
        <c:varyColors val="1"/>
        <c:ser>
          <c:idx val="0"/>
          <c:order val="0"/>
          <c:tx>
            <c:strRef>
              <c:f>Pivot_table!$K$3</c:f>
              <c:strCache>
                <c:ptCount val="1"/>
                <c:pt idx="0">
                  <c:v>Total</c:v>
                </c:pt>
              </c:strCache>
            </c:strRef>
          </c:tx>
          <c:spPr>
            <a:ln>
              <a:noFill/>
            </a:ln>
          </c:spPr>
          <c:dPt>
            <c:idx val="0"/>
            <c:bubble3D val="0"/>
            <c:spPr>
              <a:solidFill>
                <a:schemeClr val="accent5">
                  <a:lumMod val="20000"/>
                  <a:lumOff val="80000"/>
                </a:schemeClr>
              </a:solidFill>
              <a:ln w="19050">
                <a:noFill/>
              </a:ln>
              <a:effectLst/>
            </c:spPr>
            <c:extLst>
              <c:ext xmlns:c16="http://schemas.microsoft.com/office/drawing/2014/chart" uri="{C3380CC4-5D6E-409C-BE32-E72D297353CC}">
                <c16:uniqueId val="{00000001-0B0A-4CCA-929A-4B29FDCE9F07}"/>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0B0A-4CCA-929A-4B29FDCE9F07}"/>
              </c:ext>
            </c:extLst>
          </c:dPt>
          <c:dPt>
            <c:idx val="2"/>
            <c:bubble3D val="0"/>
            <c:spPr>
              <a:solidFill>
                <a:schemeClr val="accent5">
                  <a:lumMod val="50000"/>
                </a:schemeClr>
              </a:solidFill>
              <a:ln w="19050">
                <a:noFill/>
              </a:ln>
              <a:effectLst/>
            </c:spPr>
            <c:extLst>
              <c:ext xmlns:c16="http://schemas.microsoft.com/office/drawing/2014/chart" uri="{C3380CC4-5D6E-409C-BE32-E72D297353CC}">
                <c16:uniqueId val="{00000005-0B0A-4CCA-929A-4B29FDCE9F07}"/>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Pivot_table!$J$4:$J$7</c:f>
              <c:strCache>
                <c:ptCount val="3"/>
                <c:pt idx="0">
                  <c:v>2023</c:v>
                </c:pt>
                <c:pt idx="1">
                  <c:v>2024</c:v>
                </c:pt>
                <c:pt idx="2">
                  <c:v>2025</c:v>
                </c:pt>
              </c:strCache>
            </c:strRef>
          </c:cat>
          <c:val>
            <c:numRef>
              <c:f>Pivot_table!$K$4:$K$7</c:f>
              <c:numCache>
                <c:formatCode>General</c:formatCode>
                <c:ptCount val="3"/>
                <c:pt idx="0">
                  <c:v>4</c:v>
                </c:pt>
                <c:pt idx="1">
                  <c:v>85</c:v>
                </c:pt>
                <c:pt idx="2">
                  <c:v>94</c:v>
                </c:pt>
              </c:numCache>
            </c:numRef>
          </c:val>
          <c:extLst>
            <c:ext xmlns:c16="http://schemas.microsoft.com/office/drawing/2014/chart" uri="{C3380CC4-5D6E-409C-BE32-E72D297353CC}">
              <c16:uniqueId val="{00000006-0B0A-4CCA-929A-4B29FDCE9F07}"/>
            </c:ext>
          </c:extLst>
        </c:ser>
        <c:dLbls>
          <c:showLegendKey val="0"/>
          <c:showVal val="1"/>
          <c:showCatName val="0"/>
          <c:showSerName val="0"/>
          <c:showPercent val="0"/>
          <c:showBubbleSize val="0"/>
          <c:showLeaderLines val="1"/>
        </c:dLbls>
        <c:firstSliceAng val="185"/>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[sales_profit.xlsx]Pivot_table!top</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5 customer</a:t>
            </a:r>
            <a:r>
              <a:rPr lang="en-US" sz="2000" b="1" baseline="0">
                <a:solidFill>
                  <a:schemeClr val="tx1"/>
                </a:solidFill>
              </a:rPr>
              <a:t> profits</a:t>
            </a:r>
            <a:endParaRPr lang="en-US" sz="2000" b="1">
              <a:solidFill>
                <a:schemeClr val="tx1"/>
              </a:solidFill>
            </a:endParaRPr>
          </a:p>
        </c:rich>
      </c:tx>
      <c:layout>
        <c:manualLayout>
          <c:xMode val="edge"/>
          <c:yMode val="edge"/>
          <c:x val="0.22030654880585826"/>
          <c:y val="7.47796990642597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5F7C"/>
          </a:solidFill>
          <a:ln>
            <a:noFill/>
          </a:ln>
          <a:effectLst/>
        </c:spPr>
        <c:dLbl>
          <c:idx val="0"/>
          <c:layout>
            <c:manualLayout>
              <c:x val="0.2616216940004685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5F7C"/>
          </a:solidFill>
          <a:ln>
            <a:noFill/>
          </a:ln>
          <a:effectLst/>
        </c:spPr>
        <c:dLbl>
          <c:idx val="0"/>
          <c:layout>
            <c:manualLayout>
              <c:x val="0.26459466779592855"/>
              <c:y val="4.468471765063939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5F7C"/>
          </a:solidFill>
          <a:ln>
            <a:noFill/>
          </a:ln>
          <a:effectLst/>
        </c:spPr>
        <c:dLbl>
          <c:idx val="0"/>
          <c:layout>
            <c:manualLayout>
              <c:x val="0.21108113947765084"/>
              <c:y val="8.9369435301278784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5F7C"/>
          </a:solidFill>
          <a:ln>
            <a:noFill/>
          </a:ln>
          <a:effectLst/>
        </c:spPr>
        <c:dLbl>
          <c:idx val="0"/>
          <c:layout>
            <c:manualLayout>
              <c:x val="0.22000006086403046"/>
              <c:y val="-8.1921036000707079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5F7C"/>
          </a:solidFill>
          <a:ln>
            <a:noFill/>
          </a:ln>
          <a:effectLst/>
        </c:spPr>
        <c:dLbl>
          <c:idx val="0"/>
          <c:layout>
            <c:manualLayout>
              <c:x val="0.23189195604586985"/>
              <c:y val="-1.6384207200141416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24796493644848"/>
          <c:y val="0.23672767127529129"/>
          <c:w val="0.61488871992861394"/>
          <c:h val="0.73976957015390199"/>
        </c:manualLayout>
      </c:layout>
      <c:barChart>
        <c:barDir val="bar"/>
        <c:grouping val="stacked"/>
        <c:varyColors val="0"/>
        <c:ser>
          <c:idx val="0"/>
          <c:order val="0"/>
          <c:tx>
            <c:strRef>
              <c:f>Pivot_table!$Q$3</c:f>
              <c:strCache>
                <c:ptCount val="1"/>
                <c:pt idx="0">
                  <c:v>Total</c:v>
                </c:pt>
              </c:strCache>
            </c:strRef>
          </c:tx>
          <c:spPr>
            <a:solidFill>
              <a:schemeClr val="accent1"/>
            </a:solidFill>
            <a:ln>
              <a:noFill/>
            </a:ln>
            <a:effectLst/>
          </c:spPr>
          <c:invertIfNegative val="0"/>
          <c:dPt>
            <c:idx val="0"/>
            <c:invertIfNegative val="0"/>
            <c:bubble3D val="0"/>
            <c:spPr>
              <a:solidFill>
                <a:srgbClr val="165F7C"/>
              </a:solidFill>
              <a:ln>
                <a:noFill/>
              </a:ln>
              <a:effectLst/>
            </c:spPr>
            <c:extLst>
              <c:ext xmlns:c16="http://schemas.microsoft.com/office/drawing/2014/chart" uri="{C3380CC4-5D6E-409C-BE32-E72D297353CC}">
                <c16:uniqueId val="{00000004-8F69-4548-890A-DF345977D120}"/>
              </c:ext>
            </c:extLst>
          </c:dPt>
          <c:dPt>
            <c:idx val="1"/>
            <c:invertIfNegative val="0"/>
            <c:bubble3D val="0"/>
            <c:spPr>
              <a:solidFill>
                <a:srgbClr val="165F7C"/>
              </a:solidFill>
              <a:ln>
                <a:noFill/>
              </a:ln>
              <a:effectLst/>
            </c:spPr>
            <c:extLst>
              <c:ext xmlns:c16="http://schemas.microsoft.com/office/drawing/2014/chart" uri="{C3380CC4-5D6E-409C-BE32-E72D297353CC}">
                <c16:uniqueId val="{00000003-8F69-4548-890A-DF345977D120}"/>
              </c:ext>
            </c:extLst>
          </c:dPt>
          <c:dPt>
            <c:idx val="2"/>
            <c:invertIfNegative val="0"/>
            <c:bubble3D val="0"/>
            <c:spPr>
              <a:solidFill>
                <a:srgbClr val="165F7C"/>
              </a:solidFill>
              <a:ln>
                <a:noFill/>
              </a:ln>
              <a:effectLst/>
            </c:spPr>
            <c:extLst>
              <c:ext xmlns:c16="http://schemas.microsoft.com/office/drawing/2014/chart" uri="{C3380CC4-5D6E-409C-BE32-E72D297353CC}">
                <c16:uniqueId val="{00000002-8F69-4548-890A-DF345977D120}"/>
              </c:ext>
            </c:extLst>
          </c:dPt>
          <c:dPt>
            <c:idx val="3"/>
            <c:invertIfNegative val="0"/>
            <c:bubble3D val="0"/>
            <c:spPr>
              <a:solidFill>
                <a:srgbClr val="165F7C"/>
              </a:solidFill>
              <a:ln>
                <a:noFill/>
              </a:ln>
              <a:effectLst/>
            </c:spPr>
            <c:extLst>
              <c:ext xmlns:c16="http://schemas.microsoft.com/office/drawing/2014/chart" uri="{C3380CC4-5D6E-409C-BE32-E72D297353CC}">
                <c16:uniqueId val="{00000001-8F69-4548-890A-DF345977D120}"/>
              </c:ext>
            </c:extLst>
          </c:dPt>
          <c:dPt>
            <c:idx val="4"/>
            <c:invertIfNegative val="0"/>
            <c:bubble3D val="0"/>
            <c:spPr>
              <a:solidFill>
                <a:srgbClr val="165F7C"/>
              </a:solidFill>
              <a:ln>
                <a:noFill/>
              </a:ln>
              <a:effectLst/>
            </c:spPr>
            <c:extLst>
              <c:ext xmlns:c16="http://schemas.microsoft.com/office/drawing/2014/chart" uri="{C3380CC4-5D6E-409C-BE32-E72D297353CC}">
                <c16:uniqueId val="{00000000-8F69-4548-890A-DF345977D120}"/>
              </c:ext>
            </c:extLst>
          </c:dPt>
          <c:dLbls>
            <c:dLbl>
              <c:idx val="0"/>
              <c:layout>
                <c:manualLayout>
                  <c:x val="0.23189195604586985"/>
                  <c:y val="-1.6384207200141416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69-4548-890A-DF345977D120}"/>
                </c:ext>
              </c:extLst>
            </c:dLbl>
            <c:dLbl>
              <c:idx val="1"/>
              <c:layout>
                <c:manualLayout>
                  <c:x val="0.22000006086403046"/>
                  <c:y val="-8.192103600070707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69-4548-890A-DF345977D120}"/>
                </c:ext>
              </c:extLst>
            </c:dLbl>
            <c:dLbl>
              <c:idx val="2"/>
              <c:layout>
                <c:manualLayout>
                  <c:x val="0.21108113947765084"/>
                  <c:y val="8.936943530127878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69-4548-890A-DF345977D120}"/>
                </c:ext>
              </c:extLst>
            </c:dLbl>
            <c:dLbl>
              <c:idx val="3"/>
              <c:layout>
                <c:manualLayout>
                  <c:x val="0.26459466779592855"/>
                  <c:y val="4.46847176506393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69-4548-890A-DF345977D120}"/>
                </c:ext>
              </c:extLst>
            </c:dLbl>
            <c:dLbl>
              <c:idx val="4"/>
              <c:layout>
                <c:manualLayout>
                  <c:x val="0.2616216940004685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69-4548-890A-DF345977D12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Pivot_table!$P$4:$P$9</c:f>
              <c:strCache>
                <c:ptCount val="5"/>
                <c:pt idx="0">
                  <c:v>Bruce Joyce</c:v>
                </c:pt>
                <c:pt idx="1">
                  <c:v>Joseph Franco</c:v>
                </c:pt>
                <c:pt idx="2">
                  <c:v>Jennifer Clayton</c:v>
                </c:pt>
                <c:pt idx="3">
                  <c:v>Michael Johnson</c:v>
                </c:pt>
                <c:pt idx="4">
                  <c:v>Daniel White</c:v>
                </c:pt>
              </c:strCache>
            </c:strRef>
          </c:cat>
          <c:val>
            <c:numRef>
              <c:f>Pivot_table!$Q$4:$Q$9</c:f>
              <c:numCache>
                <c:formatCode>_ "₹"\ * #,##0_ ;_ "₹"\ * \-#,##0_ ;_ "₹"\ * "-"??_ ;_ @_ </c:formatCode>
                <c:ptCount val="5"/>
                <c:pt idx="0">
                  <c:v>21693.57</c:v>
                </c:pt>
                <c:pt idx="1">
                  <c:v>22364.41</c:v>
                </c:pt>
                <c:pt idx="2">
                  <c:v>23278.33</c:v>
                </c:pt>
                <c:pt idx="3">
                  <c:v>28436.26</c:v>
                </c:pt>
                <c:pt idx="4">
                  <c:v>28979.1</c:v>
                </c:pt>
              </c:numCache>
            </c:numRef>
          </c:val>
          <c:extLst>
            <c:ext xmlns:c16="http://schemas.microsoft.com/office/drawing/2014/chart" uri="{C3380CC4-5D6E-409C-BE32-E72D297353CC}">
              <c16:uniqueId val="{00000000-2F9A-4015-A3B4-3E14A475D858}"/>
            </c:ext>
          </c:extLst>
        </c:ser>
        <c:dLbls>
          <c:showLegendKey val="0"/>
          <c:showVal val="0"/>
          <c:showCatName val="0"/>
          <c:showSerName val="0"/>
          <c:showPercent val="0"/>
          <c:showBubbleSize val="0"/>
        </c:dLbls>
        <c:gapWidth val="150"/>
        <c:overlap val="100"/>
        <c:axId val="1598251663"/>
        <c:axId val="1598257423"/>
      </c:barChart>
      <c:catAx>
        <c:axId val="159825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98257423"/>
        <c:crosses val="autoZero"/>
        <c:auto val="1"/>
        <c:lblAlgn val="ctr"/>
        <c:lblOffset val="100"/>
        <c:noMultiLvlLbl val="0"/>
      </c:catAx>
      <c:valAx>
        <c:axId val="1598257423"/>
        <c:scaling>
          <c:orientation val="minMax"/>
        </c:scaling>
        <c:delete val="1"/>
        <c:axPos val="b"/>
        <c:numFmt formatCode="_ &quot;₹&quot;\ * #,##0_ ;_ &quot;₹&quot;\ * \-#,##0_ ;_ &quot;₹&quot;\ * &quot;-&quot;??_ ;_ @_ " sourceLinked="1"/>
        <c:majorTickMark val="none"/>
        <c:minorTickMark val="none"/>
        <c:tickLblPos val="nextTo"/>
        <c:crossAx val="159825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[sales_profit.xlsx]Pivot_table!month</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 BY MONTH</a:t>
            </a:r>
          </a:p>
        </c:rich>
      </c:tx>
      <c:layout>
        <c:manualLayout>
          <c:xMode val="edge"/>
          <c:yMode val="edge"/>
          <c:x val="0.46325840200554413"/>
          <c:y val="2.933684107682005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65F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65F7C"/>
          </a:solidFill>
          <a:ln>
            <a:noFill/>
          </a:ln>
          <a:effectLst/>
        </c:spPr>
        <c:dLbl>
          <c:idx val="0"/>
          <c:layout>
            <c:manualLayout>
              <c:x val="-1.388033930184105E-17"/>
              <c:y val="-0.3023368224720822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65F7C"/>
          </a:solidFill>
          <a:ln>
            <a:noFill/>
          </a:ln>
          <a:effectLst/>
        </c:spPr>
        <c:dLbl>
          <c:idx val="0"/>
          <c:layout>
            <c:manualLayout>
              <c:x val="1.5142363253132583E-3"/>
              <c:y val="-0.236611426282499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65F7C"/>
          </a:solidFill>
          <a:ln>
            <a:noFill/>
          </a:ln>
          <a:effectLst/>
        </c:spPr>
        <c:dLbl>
          <c:idx val="0"/>
          <c:layout>
            <c:manualLayout>
              <c:x val="-3.0284726506265998E-3"/>
              <c:y val="-0.151168411236041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65F7C"/>
          </a:solidFill>
          <a:ln>
            <a:noFill/>
          </a:ln>
          <a:effectLst/>
        </c:spPr>
        <c:dLbl>
          <c:idx val="0"/>
          <c:layout>
            <c:manualLayout>
              <c:x val="-1.3628126927819629E-2"/>
              <c:y val="-0.2826192036152073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65F7C"/>
          </a:solidFill>
          <a:ln>
            <a:noFill/>
          </a:ln>
          <a:effectLst/>
        </c:spPr>
        <c:dLbl>
          <c:idx val="0"/>
          <c:layout>
            <c:manualLayout>
              <c:x val="-4.5427089759399134E-3"/>
              <c:y val="-0.381207297899582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65F7C"/>
          </a:solidFill>
          <a:ln>
            <a:noFill/>
          </a:ln>
          <a:effectLst/>
        </c:spPr>
        <c:dLbl>
          <c:idx val="0"/>
          <c:layout>
            <c:manualLayout>
              <c:x val="-7.571181626566374E-3"/>
              <c:y val="-0.2694741243772907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65F7C"/>
          </a:solidFill>
          <a:ln>
            <a:noFill/>
          </a:ln>
          <a:effectLst/>
        </c:spPr>
        <c:dLbl>
          <c:idx val="0"/>
          <c:layout>
            <c:manualLayout>
              <c:x val="0"/>
              <c:y val="-0.289191743234165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165F7C"/>
          </a:solidFill>
          <a:ln>
            <a:noFill/>
          </a:ln>
          <a:effectLst/>
        </c:spPr>
        <c:dLbl>
          <c:idx val="0"/>
          <c:layout>
            <c:manualLayout>
              <c:x val="0"/>
              <c:y val="-0.2629015847583323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65F7C"/>
          </a:solidFill>
          <a:ln>
            <a:noFill/>
          </a:ln>
          <a:effectLst/>
        </c:spPr>
        <c:dLbl>
          <c:idx val="0"/>
          <c:layout>
            <c:manualLayout>
              <c:x val="-9.0854179518797158E-3"/>
              <c:y val="-0.3089093620910405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165F7C"/>
          </a:solidFill>
          <a:ln>
            <a:noFill/>
          </a:ln>
          <a:effectLst/>
        </c:spPr>
        <c:dLbl>
          <c:idx val="0"/>
          <c:layout>
            <c:manualLayout>
              <c:x val="0"/>
              <c:y val="-0.3943523771374985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65F7C"/>
          </a:solidFill>
          <a:ln>
            <a:noFill/>
          </a:ln>
          <a:effectLst/>
        </c:spPr>
        <c:dLbl>
          <c:idx val="0"/>
          <c:layout>
            <c:manualLayout>
              <c:x val="-9.0854179518796048E-3"/>
              <c:y val="-0.2891917432341656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65F7C"/>
          </a:solidFill>
          <a:ln>
            <a:noFill/>
          </a:ln>
          <a:effectLst/>
        </c:spPr>
        <c:dLbl>
          <c:idx val="0"/>
          <c:layout>
            <c:manualLayout>
              <c:x val="-7.5711816265664296E-3"/>
              <c:y val="-0.328626980947915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61283719943212E-2"/>
          <c:y val="0.20284004680406059"/>
          <c:w val="0.91736759442781002"/>
          <c:h val="0.62159291626281687"/>
        </c:manualLayout>
      </c:layout>
      <c:barChart>
        <c:barDir val="col"/>
        <c:grouping val="stacked"/>
        <c:varyColors val="0"/>
        <c:ser>
          <c:idx val="0"/>
          <c:order val="0"/>
          <c:tx>
            <c:strRef>
              <c:f>Pivot_table!$T$3</c:f>
              <c:strCache>
                <c:ptCount val="1"/>
                <c:pt idx="0">
                  <c:v>Total</c:v>
                </c:pt>
              </c:strCache>
            </c:strRef>
          </c:tx>
          <c:spPr>
            <a:solidFill>
              <a:srgbClr val="165F7C"/>
            </a:solidFill>
            <a:ln>
              <a:noFill/>
            </a:ln>
            <a:effectLst/>
          </c:spPr>
          <c:invertIfNegative val="0"/>
          <c:dPt>
            <c:idx val="0"/>
            <c:invertIfNegative val="0"/>
            <c:bubble3D val="0"/>
            <c:spPr>
              <a:solidFill>
                <a:srgbClr val="165F7C"/>
              </a:solidFill>
              <a:ln>
                <a:noFill/>
              </a:ln>
              <a:effectLst/>
            </c:spPr>
            <c:extLst>
              <c:ext xmlns:c16="http://schemas.microsoft.com/office/drawing/2014/chart" uri="{C3380CC4-5D6E-409C-BE32-E72D297353CC}">
                <c16:uniqueId val="{00000000-7556-46AC-9D38-F670A2F4762F}"/>
              </c:ext>
            </c:extLst>
          </c:dPt>
          <c:dPt>
            <c:idx val="1"/>
            <c:invertIfNegative val="0"/>
            <c:bubble3D val="0"/>
            <c:spPr>
              <a:solidFill>
                <a:srgbClr val="165F7C"/>
              </a:solidFill>
              <a:ln>
                <a:noFill/>
              </a:ln>
              <a:effectLst/>
            </c:spPr>
            <c:extLst>
              <c:ext xmlns:c16="http://schemas.microsoft.com/office/drawing/2014/chart" uri="{C3380CC4-5D6E-409C-BE32-E72D297353CC}">
                <c16:uniqueId val="{00000001-7556-46AC-9D38-F670A2F4762F}"/>
              </c:ext>
            </c:extLst>
          </c:dPt>
          <c:dPt>
            <c:idx val="2"/>
            <c:invertIfNegative val="0"/>
            <c:bubble3D val="0"/>
            <c:spPr>
              <a:solidFill>
                <a:srgbClr val="165F7C"/>
              </a:solidFill>
              <a:ln>
                <a:noFill/>
              </a:ln>
              <a:effectLst/>
            </c:spPr>
            <c:extLst>
              <c:ext xmlns:c16="http://schemas.microsoft.com/office/drawing/2014/chart" uri="{C3380CC4-5D6E-409C-BE32-E72D297353CC}">
                <c16:uniqueId val="{00000002-7556-46AC-9D38-F670A2F4762F}"/>
              </c:ext>
            </c:extLst>
          </c:dPt>
          <c:dPt>
            <c:idx val="3"/>
            <c:invertIfNegative val="0"/>
            <c:bubble3D val="0"/>
            <c:spPr>
              <a:solidFill>
                <a:srgbClr val="165F7C"/>
              </a:solidFill>
              <a:ln>
                <a:noFill/>
              </a:ln>
              <a:effectLst/>
            </c:spPr>
            <c:extLst>
              <c:ext xmlns:c16="http://schemas.microsoft.com/office/drawing/2014/chart" uri="{C3380CC4-5D6E-409C-BE32-E72D297353CC}">
                <c16:uniqueId val="{00000003-7556-46AC-9D38-F670A2F4762F}"/>
              </c:ext>
            </c:extLst>
          </c:dPt>
          <c:dPt>
            <c:idx val="4"/>
            <c:invertIfNegative val="0"/>
            <c:bubble3D val="0"/>
            <c:spPr>
              <a:solidFill>
                <a:srgbClr val="165F7C"/>
              </a:solidFill>
              <a:ln>
                <a:noFill/>
              </a:ln>
              <a:effectLst/>
            </c:spPr>
            <c:extLst>
              <c:ext xmlns:c16="http://schemas.microsoft.com/office/drawing/2014/chart" uri="{C3380CC4-5D6E-409C-BE32-E72D297353CC}">
                <c16:uniqueId val="{00000004-7556-46AC-9D38-F670A2F4762F}"/>
              </c:ext>
            </c:extLst>
          </c:dPt>
          <c:dPt>
            <c:idx val="5"/>
            <c:invertIfNegative val="0"/>
            <c:bubble3D val="0"/>
            <c:spPr>
              <a:solidFill>
                <a:srgbClr val="165F7C"/>
              </a:solidFill>
              <a:ln>
                <a:noFill/>
              </a:ln>
              <a:effectLst/>
            </c:spPr>
            <c:extLst>
              <c:ext xmlns:c16="http://schemas.microsoft.com/office/drawing/2014/chart" uri="{C3380CC4-5D6E-409C-BE32-E72D297353CC}">
                <c16:uniqueId val="{00000005-7556-46AC-9D38-F670A2F4762F}"/>
              </c:ext>
            </c:extLst>
          </c:dPt>
          <c:dPt>
            <c:idx val="6"/>
            <c:invertIfNegative val="0"/>
            <c:bubble3D val="0"/>
            <c:spPr>
              <a:solidFill>
                <a:srgbClr val="165F7C"/>
              </a:solidFill>
              <a:ln>
                <a:noFill/>
              </a:ln>
              <a:effectLst/>
            </c:spPr>
            <c:extLst>
              <c:ext xmlns:c16="http://schemas.microsoft.com/office/drawing/2014/chart" uri="{C3380CC4-5D6E-409C-BE32-E72D297353CC}">
                <c16:uniqueId val="{00000006-7556-46AC-9D38-F670A2F4762F}"/>
              </c:ext>
            </c:extLst>
          </c:dPt>
          <c:dPt>
            <c:idx val="7"/>
            <c:invertIfNegative val="0"/>
            <c:bubble3D val="0"/>
            <c:spPr>
              <a:solidFill>
                <a:srgbClr val="165F7C"/>
              </a:solidFill>
              <a:ln>
                <a:noFill/>
              </a:ln>
              <a:effectLst/>
            </c:spPr>
            <c:extLst>
              <c:ext xmlns:c16="http://schemas.microsoft.com/office/drawing/2014/chart" uri="{C3380CC4-5D6E-409C-BE32-E72D297353CC}">
                <c16:uniqueId val="{00000007-7556-46AC-9D38-F670A2F4762F}"/>
              </c:ext>
            </c:extLst>
          </c:dPt>
          <c:dPt>
            <c:idx val="8"/>
            <c:invertIfNegative val="0"/>
            <c:bubble3D val="0"/>
            <c:spPr>
              <a:solidFill>
                <a:srgbClr val="165F7C"/>
              </a:solidFill>
              <a:ln>
                <a:noFill/>
              </a:ln>
              <a:effectLst/>
            </c:spPr>
            <c:extLst>
              <c:ext xmlns:c16="http://schemas.microsoft.com/office/drawing/2014/chart" uri="{C3380CC4-5D6E-409C-BE32-E72D297353CC}">
                <c16:uniqueId val="{00000008-7556-46AC-9D38-F670A2F4762F}"/>
              </c:ext>
            </c:extLst>
          </c:dPt>
          <c:dPt>
            <c:idx val="9"/>
            <c:invertIfNegative val="0"/>
            <c:bubble3D val="0"/>
            <c:spPr>
              <a:solidFill>
                <a:srgbClr val="165F7C"/>
              </a:solidFill>
              <a:ln>
                <a:noFill/>
              </a:ln>
              <a:effectLst/>
            </c:spPr>
            <c:extLst>
              <c:ext xmlns:c16="http://schemas.microsoft.com/office/drawing/2014/chart" uri="{C3380CC4-5D6E-409C-BE32-E72D297353CC}">
                <c16:uniqueId val="{00000009-7556-46AC-9D38-F670A2F4762F}"/>
              </c:ext>
            </c:extLst>
          </c:dPt>
          <c:dPt>
            <c:idx val="10"/>
            <c:invertIfNegative val="0"/>
            <c:bubble3D val="0"/>
            <c:spPr>
              <a:solidFill>
                <a:srgbClr val="165F7C"/>
              </a:solidFill>
              <a:ln>
                <a:noFill/>
              </a:ln>
              <a:effectLst/>
            </c:spPr>
            <c:extLst>
              <c:ext xmlns:c16="http://schemas.microsoft.com/office/drawing/2014/chart" uri="{C3380CC4-5D6E-409C-BE32-E72D297353CC}">
                <c16:uniqueId val="{0000000A-7556-46AC-9D38-F670A2F4762F}"/>
              </c:ext>
            </c:extLst>
          </c:dPt>
          <c:dPt>
            <c:idx val="11"/>
            <c:invertIfNegative val="0"/>
            <c:bubble3D val="0"/>
            <c:spPr>
              <a:solidFill>
                <a:srgbClr val="165F7C"/>
              </a:solidFill>
              <a:ln>
                <a:noFill/>
              </a:ln>
              <a:effectLst/>
            </c:spPr>
            <c:extLst>
              <c:ext xmlns:c16="http://schemas.microsoft.com/office/drawing/2014/chart" uri="{C3380CC4-5D6E-409C-BE32-E72D297353CC}">
                <c16:uniqueId val="{0000000B-7556-46AC-9D38-F670A2F4762F}"/>
              </c:ext>
            </c:extLst>
          </c:dPt>
          <c:dLbls>
            <c:dLbl>
              <c:idx val="0"/>
              <c:layout>
                <c:manualLayout>
                  <c:x val="-1.388033930184105E-17"/>
                  <c:y val="-0.302336822472082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56-46AC-9D38-F670A2F4762F}"/>
                </c:ext>
              </c:extLst>
            </c:dLbl>
            <c:dLbl>
              <c:idx val="1"/>
              <c:layout>
                <c:manualLayout>
                  <c:x val="1.5142363253132583E-3"/>
                  <c:y val="-0.2366114262824990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56-46AC-9D38-F670A2F4762F}"/>
                </c:ext>
              </c:extLst>
            </c:dLbl>
            <c:dLbl>
              <c:idx val="2"/>
              <c:layout>
                <c:manualLayout>
                  <c:x val="-3.0284726506265998E-3"/>
                  <c:y val="-0.151168411236041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56-46AC-9D38-F670A2F4762F}"/>
                </c:ext>
              </c:extLst>
            </c:dLbl>
            <c:dLbl>
              <c:idx val="3"/>
              <c:layout>
                <c:manualLayout>
                  <c:x val="-1.3628126927819629E-2"/>
                  <c:y val="-0.282619203615207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56-46AC-9D38-F670A2F4762F}"/>
                </c:ext>
              </c:extLst>
            </c:dLbl>
            <c:dLbl>
              <c:idx val="4"/>
              <c:layout>
                <c:manualLayout>
                  <c:x val="-4.5427089759399134E-3"/>
                  <c:y val="-0.381207297899582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56-46AC-9D38-F670A2F4762F}"/>
                </c:ext>
              </c:extLst>
            </c:dLbl>
            <c:dLbl>
              <c:idx val="5"/>
              <c:layout>
                <c:manualLayout>
                  <c:x val="-7.571181626566374E-3"/>
                  <c:y val="-0.269474124377290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56-46AC-9D38-F670A2F4762F}"/>
                </c:ext>
              </c:extLst>
            </c:dLbl>
            <c:dLbl>
              <c:idx val="6"/>
              <c:layout>
                <c:manualLayout>
                  <c:x val="0"/>
                  <c:y val="-0.289191743234165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56-46AC-9D38-F670A2F4762F}"/>
                </c:ext>
              </c:extLst>
            </c:dLbl>
            <c:dLbl>
              <c:idx val="7"/>
              <c:layout>
                <c:manualLayout>
                  <c:x val="0"/>
                  <c:y val="-0.262901584758332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56-46AC-9D38-F670A2F4762F}"/>
                </c:ext>
              </c:extLst>
            </c:dLbl>
            <c:dLbl>
              <c:idx val="8"/>
              <c:layout>
                <c:manualLayout>
                  <c:x val="-9.0854179518797158E-3"/>
                  <c:y val="-0.308909362091040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56-46AC-9D38-F670A2F4762F}"/>
                </c:ext>
              </c:extLst>
            </c:dLbl>
            <c:dLbl>
              <c:idx val="9"/>
              <c:layout>
                <c:manualLayout>
                  <c:x val="0"/>
                  <c:y val="-0.394352377137498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56-46AC-9D38-F670A2F4762F}"/>
                </c:ext>
              </c:extLst>
            </c:dLbl>
            <c:dLbl>
              <c:idx val="10"/>
              <c:layout>
                <c:manualLayout>
                  <c:x val="-9.0854179518796048E-3"/>
                  <c:y val="-0.289191743234165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556-46AC-9D38-F670A2F4762F}"/>
                </c:ext>
              </c:extLst>
            </c:dLbl>
            <c:dLbl>
              <c:idx val="11"/>
              <c:layout>
                <c:manualLayout>
                  <c:x val="-7.5711816265664296E-3"/>
                  <c:y val="-0.3286269809479154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556-46AC-9D38-F670A2F4762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Pivot_table!$S$4:$S$16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Pivot_table!$T$4:$T$16</c:f>
              <c:numCache>
                <c:formatCode>_ "₹"\ * #,##0_ ;_ "₹"\ * \-#,##0_ ;_ "₹"\ * "-"??_ ;_ @_ </c:formatCode>
                <c:ptCount val="12"/>
                <c:pt idx="0">
                  <c:v>825104.52</c:v>
                </c:pt>
                <c:pt idx="1">
                  <c:v>549749.07000000007</c:v>
                </c:pt>
                <c:pt idx="2">
                  <c:v>369405.28000000009</c:v>
                </c:pt>
                <c:pt idx="3">
                  <c:v>1029968.03</c:v>
                </c:pt>
                <c:pt idx="4">
                  <c:v>1386255.5099999998</c:v>
                </c:pt>
                <c:pt idx="5">
                  <c:v>682102.08000000007</c:v>
                </c:pt>
                <c:pt idx="6">
                  <c:v>774149.40999999992</c:v>
                </c:pt>
                <c:pt idx="7">
                  <c:v>600255.62000000011</c:v>
                </c:pt>
                <c:pt idx="8">
                  <c:v>865925.2</c:v>
                </c:pt>
                <c:pt idx="9">
                  <c:v>1071664.7500000002</c:v>
                </c:pt>
                <c:pt idx="10">
                  <c:v>623240.59000000008</c:v>
                </c:pt>
                <c:pt idx="11">
                  <c:v>897412.08</c:v>
                </c:pt>
              </c:numCache>
            </c:numRef>
          </c:val>
          <c:extLst>
            <c:ext xmlns:c16="http://schemas.microsoft.com/office/drawing/2014/chart" uri="{C3380CC4-5D6E-409C-BE32-E72D297353CC}">
              <c16:uniqueId val="{00000000-A324-4275-A207-22F557E7D8B9}"/>
            </c:ext>
          </c:extLst>
        </c:ser>
        <c:dLbls>
          <c:dLblPos val="ctr"/>
          <c:showLegendKey val="0"/>
          <c:showVal val="1"/>
          <c:showCatName val="0"/>
          <c:showSerName val="0"/>
          <c:showPercent val="0"/>
          <c:showBubbleSize val="0"/>
        </c:dLbls>
        <c:gapWidth val="150"/>
        <c:overlap val="100"/>
        <c:axId val="1552114735"/>
        <c:axId val="1552105135"/>
      </c:barChart>
      <c:catAx>
        <c:axId val="155211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105135"/>
        <c:crosses val="autoZero"/>
        <c:auto val="1"/>
        <c:lblAlgn val="ctr"/>
        <c:lblOffset val="100"/>
        <c:noMultiLvlLbl val="0"/>
      </c:catAx>
      <c:valAx>
        <c:axId val="1552105135"/>
        <c:scaling>
          <c:orientation val="minMax"/>
        </c:scaling>
        <c:delete val="1"/>
        <c:axPos val="l"/>
        <c:numFmt formatCode="_ &quot;₹&quot;\ * #,##0_ ;_ &quot;₹&quot;\ * \-#,##0_ ;_ &quot;₹&quot;\ * &quot;-&quot;??_ ;_ @_ " sourceLinked="1"/>
        <c:majorTickMark val="none"/>
        <c:minorTickMark val="none"/>
        <c:tickLblPos val="nextTo"/>
        <c:crossAx val="15521147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solidFill>
              <a:latin typeface="Calibri" panose="020F0502020204030204"/>
            </a:rPr>
            <a:t>SALES BY CATEGORY</a:t>
          </a:r>
        </a:p>
      </cx:txPr>
    </cx:title>
    <cx:plotArea>
      <cx:plotAreaRegion>
        <cx:plotSurface>
          <cx:spPr>
            <a:noFill/>
            <a:ln>
              <a:noFill/>
            </a:ln>
          </cx:spPr>
        </cx:plotSurface>
        <cx:series layoutId="funnel" uniqueId="{08137844-8711-44C4-ABBB-DAAB86BCA7D2}">
          <cx:tx>
            <cx:txData>
              <cx:f>_xlchart.v2.1</cx:f>
              <cx:v>SALES</cx:v>
            </cx:txData>
          </cx:tx>
          <cx:spPr>
            <a:solidFill>
              <a:srgbClr val="165F7C"/>
            </a:solidFill>
          </cx:spPr>
          <cx:dataLabels>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70423</xdr:colOff>
      <xdr:row>0</xdr:row>
      <xdr:rowOff>60756</xdr:rowOff>
    </xdr:from>
    <xdr:to>
      <xdr:col>25</xdr:col>
      <xdr:colOff>5274</xdr:colOff>
      <xdr:row>48</xdr:row>
      <xdr:rowOff>4679</xdr:rowOff>
    </xdr:to>
    <xdr:sp macro="" textlink="">
      <xdr:nvSpPr>
        <xdr:cNvPr id="8" name="Rectangle: Rounded Corners 7">
          <a:extLst>
            <a:ext uri="{FF2B5EF4-FFF2-40B4-BE49-F238E27FC236}">
              <a16:creationId xmlns:a16="http://schemas.microsoft.com/office/drawing/2014/main" id="{FA628C5F-BC3A-8322-4DFB-911A76CF77A8}"/>
            </a:ext>
          </a:extLst>
        </xdr:cNvPr>
        <xdr:cNvSpPr/>
      </xdr:nvSpPr>
      <xdr:spPr>
        <a:xfrm>
          <a:off x="70423" y="60756"/>
          <a:ext cx="15123365" cy="8840788"/>
        </a:xfrm>
        <a:prstGeom prst="roundRect">
          <a:avLst>
            <a:gd name="adj" fmla="val 2122"/>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168772</xdr:colOff>
      <xdr:row>8</xdr:row>
      <xdr:rowOff>8785</xdr:rowOff>
    </xdr:from>
    <xdr:to>
      <xdr:col>3</xdr:col>
      <xdr:colOff>118390</xdr:colOff>
      <xdr:row>47</xdr:row>
      <xdr:rowOff>95494</xdr:rowOff>
    </xdr:to>
    <xdr:sp macro="" textlink="">
      <xdr:nvSpPr>
        <xdr:cNvPr id="9" name="Rectangle: Rounded Corners 8">
          <a:extLst>
            <a:ext uri="{FF2B5EF4-FFF2-40B4-BE49-F238E27FC236}">
              <a16:creationId xmlns:a16="http://schemas.microsoft.com/office/drawing/2014/main" id="{EABF9ABF-9D9C-037F-F6DA-FC19253CA84D}"/>
            </a:ext>
          </a:extLst>
        </xdr:cNvPr>
        <xdr:cNvSpPr/>
      </xdr:nvSpPr>
      <xdr:spPr>
        <a:xfrm>
          <a:off x="168772" y="1472514"/>
          <a:ext cx="1790042" cy="7222387"/>
        </a:xfrm>
        <a:prstGeom prst="roundRect">
          <a:avLst>
            <a:gd name="adj" fmla="val 5243"/>
          </a:avLst>
        </a:prstGeom>
        <a:solidFill>
          <a:srgbClr val="165F7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207348</xdr:colOff>
      <xdr:row>0</xdr:row>
      <xdr:rowOff>173183</xdr:rowOff>
    </xdr:from>
    <xdr:to>
      <xdr:col>24</xdr:col>
      <xdr:colOff>527871</xdr:colOff>
      <xdr:row>7</xdr:row>
      <xdr:rowOff>147675</xdr:rowOff>
    </xdr:to>
    <xdr:sp macro="" textlink="">
      <xdr:nvSpPr>
        <xdr:cNvPr id="2" name="Rectangle: Rounded Corners 1">
          <a:extLst>
            <a:ext uri="{FF2B5EF4-FFF2-40B4-BE49-F238E27FC236}">
              <a16:creationId xmlns:a16="http://schemas.microsoft.com/office/drawing/2014/main" id="{357429EA-E5DF-B2BF-682A-20C116B82194}"/>
            </a:ext>
          </a:extLst>
        </xdr:cNvPr>
        <xdr:cNvSpPr/>
      </xdr:nvSpPr>
      <xdr:spPr>
        <a:xfrm>
          <a:off x="207348" y="173183"/>
          <a:ext cx="14938482" cy="1244492"/>
        </a:xfrm>
        <a:prstGeom prst="roundRect">
          <a:avLst/>
        </a:prstGeom>
        <a:solidFill>
          <a:srgbClr val="165F7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250857</xdr:colOff>
      <xdr:row>31</xdr:row>
      <xdr:rowOff>123813</xdr:rowOff>
    </xdr:from>
    <xdr:to>
      <xdr:col>10</xdr:col>
      <xdr:colOff>321724</xdr:colOff>
      <xdr:row>47</xdr:row>
      <xdr:rowOff>74174</xdr:rowOff>
    </xdr:to>
    <xdr:sp macro="" textlink="">
      <xdr:nvSpPr>
        <xdr:cNvPr id="3" name="Rectangle: Rounded Corners 2">
          <a:extLst>
            <a:ext uri="{FF2B5EF4-FFF2-40B4-BE49-F238E27FC236}">
              <a16:creationId xmlns:a16="http://schemas.microsoft.com/office/drawing/2014/main" id="{9A497F0E-3CF3-2139-784B-438733BBDDD7}"/>
            </a:ext>
          </a:extLst>
        </xdr:cNvPr>
        <xdr:cNvSpPr/>
      </xdr:nvSpPr>
      <xdr:spPr>
        <a:xfrm>
          <a:off x="2083286" y="5748099"/>
          <a:ext cx="4346533" cy="2853218"/>
        </a:xfrm>
        <a:prstGeom prst="roundRect">
          <a:avLst>
            <a:gd name="adj" fmla="val 3859"/>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243180</xdr:colOff>
      <xdr:row>8</xdr:row>
      <xdr:rowOff>58916</xdr:rowOff>
    </xdr:from>
    <xdr:to>
      <xdr:col>6</xdr:col>
      <xdr:colOff>458435</xdr:colOff>
      <xdr:row>15</xdr:row>
      <xdr:rowOff>29380</xdr:rowOff>
    </xdr:to>
    <xdr:sp macro="" textlink="">
      <xdr:nvSpPr>
        <xdr:cNvPr id="5" name="Rectangle: Rounded Corners 4">
          <a:extLst>
            <a:ext uri="{FF2B5EF4-FFF2-40B4-BE49-F238E27FC236}">
              <a16:creationId xmlns:a16="http://schemas.microsoft.com/office/drawing/2014/main" id="{5EA68034-18BC-9426-A4DF-D0B84158EF60}"/>
            </a:ext>
          </a:extLst>
        </xdr:cNvPr>
        <xdr:cNvSpPr/>
      </xdr:nvSpPr>
      <xdr:spPr>
        <a:xfrm>
          <a:off x="2062649" y="1551814"/>
          <a:ext cx="2034725" cy="1276750"/>
        </a:xfrm>
        <a:prstGeom prst="roundRect">
          <a:avLst>
            <a:gd name="adj" fmla="val 9350"/>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383481</xdr:colOff>
      <xdr:row>8</xdr:row>
      <xdr:rowOff>56520</xdr:rowOff>
    </xdr:from>
    <xdr:to>
      <xdr:col>18</xdr:col>
      <xdr:colOff>161970</xdr:colOff>
      <xdr:row>33</xdr:row>
      <xdr:rowOff>90310</xdr:rowOff>
    </xdr:to>
    <xdr:sp macro="" textlink="">
      <xdr:nvSpPr>
        <xdr:cNvPr id="7" name="Rectangle: Rounded Corners 6">
          <a:extLst>
            <a:ext uri="{FF2B5EF4-FFF2-40B4-BE49-F238E27FC236}">
              <a16:creationId xmlns:a16="http://schemas.microsoft.com/office/drawing/2014/main" id="{83329DB7-76D1-728A-E5F5-CA054AD5A3E5}"/>
            </a:ext>
          </a:extLst>
        </xdr:cNvPr>
        <xdr:cNvSpPr/>
      </xdr:nvSpPr>
      <xdr:spPr>
        <a:xfrm>
          <a:off x="6444845" y="1511247"/>
          <a:ext cx="4627580" cy="4579813"/>
        </a:xfrm>
        <a:prstGeom prst="roundRect">
          <a:avLst>
            <a:gd name="adj" fmla="val 1971"/>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399793</xdr:colOff>
      <xdr:row>33</xdr:row>
      <xdr:rowOff>172204</xdr:rowOff>
    </xdr:from>
    <xdr:to>
      <xdr:col>24</xdr:col>
      <xdr:colOff>502093</xdr:colOff>
      <xdr:row>47</xdr:row>
      <xdr:rowOff>33671</xdr:rowOff>
    </xdr:to>
    <xdr:sp macro="" textlink="">
      <xdr:nvSpPr>
        <xdr:cNvPr id="10" name="Rectangle: Rounded Corners 9">
          <a:extLst>
            <a:ext uri="{FF2B5EF4-FFF2-40B4-BE49-F238E27FC236}">
              <a16:creationId xmlns:a16="http://schemas.microsoft.com/office/drawing/2014/main" id="{527CC278-63B3-2ECD-9B48-249ED9EC2DB8}"/>
            </a:ext>
          </a:extLst>
        </xdr:cNvPr>
        <xdr:cNvSpPr/>
      </xdr:nvSpPr>
      <xdr:spPr>
        <a:xfrm>
          <a:off x="6475198" y="6288799"/>
          <a:ext cx="8607868" cy="2456386"/>
        </a:xfrm>
        <a:prstGeom prst="roundRect">
          <a:avLst>
            <a:gd name="adj" fmla="val 3759"/>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233082</xdr:colOff>
      <xdr:row>22</xdr:row>
      <xdr:rowOff>0</xdr:rowOff>
    </xdr:from>
    <xdr:to>
      <xdr:col>24</xdr:col>
      <xdr:colOff>502148</xdr:colOff>
      <xdr:row>33</xdr:row>
      <xdr:rowOff>118390</xdr:rowOff>
    </xdr:to>
    <xdr:sp macro="" textlink="">
      <xdr:nvSpPr>
        <xdr:cNvPr id="11" name="Rectangle: Rounded Corners 10">
          <a:extLst>
            <a:ext uri="{FF2B5EF4-FFF2-40B4-BE49-F238E27FC236}">
              <a16:creationId xmlns:a16="http://schemas.microsoft.com/office/drawing/2014/main" id="{031B7981-6153-9A31-379B-4954D1A3B0A0}"/>
            </a:ext>
          </a:extLst>
        </xdr:cNvPr>
        <xdr:cNvSpPr/>
      </xdr:nvSpPr>
      <xdr:spPr>
        <a:xfrm>
          <a:off x="11231761" y="3953774"/>
          <a:ext cx="3935293" cy="2095276"/>
        </a:xfrm>
        <a:prstGeom prst="roundRect">
          <a:avLst>
            <a:gd name="adj" fmla="val 3239"/>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205532</xdr:colOff>
      <xdr:row>8</xdr:row>
      <xdr:rowOff>41174</xdr:rowOff>
    </xdr:from>
    <xdr:to>
      <xdr:col>24</xdr:col>
      <xdr:colOff>529903</xdr:colOff>
      <xdr:row>21</xdr:row>
      <xdr:rowOff>100244</xdr:rowOff>
    </xdr:to>
    <xdr:sp macro="" textlink="">
      <xdr:nvSpPr>
        <xdr:cNvPr id="12" name="Rectangle: Rounded Corners 11">
          <a:extLst>
            <a:ext uri="{FF2B5EF4-FFF2-40B4-BE49-F238E27FC236}">
              <a16:creationId xmlns:a16="http://schemas.microsoft.com/office/drawing/2014/main" id="{E50C322A-5AAB-2E49-C1AD-3864A148918A}"/>
            </a:ext>
          </a:extLst>
        </xdr:cNvPr>
        <xdr:cNvSpPr/>
      </xdr:nvSpPr>
      <xdr:spPr>
        <a:xfrm>
          <a:off x="11115987" y="1495901"/>
          <a:ext cx="3961189" cy="2423002"/>
        </a:xfrm>
        <a:prstGeom prst="roundRect">
          <a:avLst>
            <a:gd name="adj" fmla="val 6667"/>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210034</xdr:colOff>
      <xdr:row>15</xdr:row>
      <xdr:rowOff>115589</xdr:rowOff>
    </xdr:from>
    <xdr:to>
      <xdr:col>10</xdr:col>
      <xdr:colOff>278740</xdr:colOff>
      <xdr:row>31</xdr:row>
      <xdr:rowOff>47391</xdr:rowOff>
    </xdr:to>
    <xdr:sp macro="" textlink="">
      <xdr:nvSpPr>
        <xdr:cNvPr id="14" name="Rectangle: Rounded Corners 13">
          <a:extLst>
            <a:ext uri="{FF2B5EF4-FFF2-40B4-BE49-F238E27FC236}">
              <a16:creationId xmlns:a16="http://schemas.microsoft.com/office/drawing/2014/main" id="{FD478FFC-AC94-129E-42AB-8AA4FBF396D1}"/>
            </a:ext>
          </a:extLst>
        </xdr:cNvPr>
        <xdr:cNvSpPr/>
      </xdr:nvSpPr>
      <xdr:spPr>
        <a:xfrm>
          <a:off x="2028443" y="2843203"/>
          <a:ext cx="4311661" cy="2841256"/>
        </a:xfrm>
        <a:prstGeom prst="roundRect">
          <a:avLst>
            <a:gd name="adj" fmla="val 3859"/>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569577</xdr:colOff>
      <xdr:row>8</xdr:row>
      <xdr:rowOff>50333</xdr:rowOff>
    </xdr:from>
    <xdr:to>
      <xdr:col>10</xdr:col>
      <xdr:colOff>268220</xdr:colOff>
      <xdr:row>15</xdr:row>
      <xdr:rowOff>20797</xdr:rowOff>
    </xdr:to>
    <xdr:sp macro="" textlink="">
      <xdr:nvSpPr>
        <xdr:cNvPr id="15" name="Rectangle: Rounded Corners 14">
          <a:extLst>
            <a:ext uri="{FF2B5EF4-FFF2-40B4-BE49-F238E27FC236}">
              <a16:creationId xmlns:a16="http://schemas.microsoft.com/office/drawing/2014/main" id="{647F383D-8ED8-BF99-A4CF-C0420796B207}"/>
            </a:ext>
          </a:extLst>
        </xdr:cNvPr>
        <xdr:cNvSpPr/>
      </xdr:nvSpPr>
      <xdr:spPr>
        <a:xfrm>
          <a:off x="4222802" y="1508706"/>
          <a:ext cx="2134126" cy="1246541"/>
        </a:xfrm>
        <a:prstGeom prst="roundRect">
          <a:avLst>
            <a:gd name="adj" fmla="val 5691"/>
          </a:avLst>
        </a:prstGeom>
        <a:gradFill>
          <a:gsLst>
            <a:gs pos="0">
              <a:srgbClr val="165F7C"/>
            </a:gs>
            <a:gs pos="50000">
              <a:srgbClr val="90AFD1"/>
            </a:gs>
            <a:gs pos="100000">
              <a:schemeClr val="accent1">
                <a:lumMod val="45000"/>
                <a:lumOff val="55000"/>
              </a:schemeClr>
            </a:gs>
            <a:gs pos="89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282562</xdr:colOff>
      <xdr:row>1</xdr:row>
      <xdr:rowOff>43340</xdr:rowOff>
    </xdr:from>
    <xdr:to>
      <xdr:col>8</xdr:col>
      <xdr:colOff>51837</xdr:colOff>
      <xdr:row>7</xdr:row>
      <xdr:rowOff>105596</xdr:rowOff>
    </xdr:to>
    <xdr:pic>
      <xdr:nvPicPr>
        <xdr:cNvPr id="17" name="Graphic 16" descr="Bar graph with upward trend with solid fill">
          <a:extLst>
            <a:ext uri="{FF2B5EF4-FFF2-40B4-BE49-F238E27FC236}">
              <a16:creationId xmlns:a16="http://schemas.microsoft.com/office/drawing/2014/main" id="{EBCAF1CB-811F-D893-3286-2A62E0D3FD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27970" y="224769"/>
          <a:ext cx="1596520" cy="1150827"/>
        </a:xfrm>
        <a:prstGeom prst="rect">
          <a:avLst/>
        </a:prstGeom>
      </xdr:spPr>
    </xdr:pic>
    <xdr:clientData/>
  </xdr:twoCellAnchor>
  <xdr:twoCellAnchor editAs="oneCell">
    <xdr:from>
      <xdr:col>7</xdr:col>
      <xdr:colOff>43495</xdr:colOff>
      <xdr:row>10</xdr:row>
      <xdr:rowOff>148415</xdr:rowOff>
    </xdr:from>
    <xdr:to>
      <xdr:col>8</xdr:col>
      <xdr:colOff>171826</xdr:colOff>
      <xdr:row>14</xdr:row>
      <xdr:rowOff>94834</xdr:rowOff>
    </xdr:to>
    <xdr:pic>
      <xdr:nvPicPr>
        <xdr:cNvPr id="19" name="Graphic 18" descr="Coins with solid fill">
          <a:extLst>
            <a:ext uri="{FF2B5EF4-FFF2-40B4-BE49-F238E27FC236}">
              <a16:creationId xmlns:a16="http://schemas.microsoft.com/office/drawing/2014/main" id="{F60A002B-4A3E-4025-9EE5-00641A10EB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288924" y="2014537"/>
          <a:ext cx="734820" cy="692868"/>
        </a:xfrm>
        <a:prstGeom prst="rect">
          <a:avLst/>
        </a:prstGeom>
      </xdr:spPr>
    </xdr:pic>
    <xdr:clientData/>
  </xdr:twoCellAnchor>
  <xdr:twoCellAnchor editAs="oneCell">
    <xdr:from>
      <xdr:col>3</xdr:col>
      <xdr:colOff>294137</xdr:colOff>
      <xdr:row>10</xdr:row>
      <xdr:rowOff>31057</xdr:rowOff>
    </xdr:from>
    <xdr:to>
      <xdr:col>4</xdr:col>
      <xdr:colOff>474307</xdr:colOff>
      <xdr:row>14</xdr:row>
      <xdr:rowOff>102127</xdr:rowOff>
    </xdr:to>
    <xdr:pic>
      <xdr:nvPicPr>
        <xdr:cNvPr id="21" name="Graphic 20" descr="Money with solid fill">
          <a:extLst>
            <a:ext uri="{FF2B5EF4-FFF2-40B4-BE49-F238E27FC236}">
              <a16:creationId xmlns:a16="http://schemas.microsoft.com/office/drawing/2014/main" id="{0E434E54-5F72-7048-A0E9-50754C7140D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13606" y="1897179"/>
          <a:ext cx="786660" cy="817519"/>
        </a:xfrm>
        <a:prstGeom prst="rect">
          <a:avLst/>
        </a:prstGeom>
      </xdr:spPr>
    </xdr:pic>
    <xdr:clientData/>
  </xdr:twoCellAnchor>
  <xdr:twoCellAnchor>
    <xdr:from>
      <xdr:col>7</xdr:col>
      <xdr:colOff>593586</xdr:colOff>
      <xdr:row>1</xdr:row>
      <xdr:rowOff>86206</xdr:rowOff>
    </xdr:from>
    <xdr:to>
      <xdr:col>18</xdr:col>
      <xdr:colOff>220306</xdr:colOff>
      <xdr:row>6</xdr:row>
      <xdr:rowOff>86207</xdr:rowOff>
    </xdr:to>
    <xdr:sp macro="" textlink="">
      <xdr:nvSpPr>
        <xdr:cNvPr id="23" name="TextBox 22">
          <a:extLst>
            <a:ext uri="{FF2B5EF4-FFF2-40B4-BE49-F238E27FC236}">
              <a16:creationId xmlns:a16="http://schemas.microsoft.com/office/drawing/2014/main" id="{08CB6326-EF9F-173F-DA78-4E7624BF6A3D}"/>
            </a:ext>
          </a:extLst>
        </xdr:cNvPr>
        <xdr:cNvSpPr txBox="1"/>
      </xdr:nvSpPr>
      <xdr:spPr>
        <a:xfrm>
          <a:off x="4857157" y="267635"/>
          <a:ext cx="6326618" cy="907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000" b="1" i="0"/>
            <a:t>SALES</a:t>
          </a:r>
          <a:r>
            <a:rPr lang="en-IN" sz="6000" b="1" i="0" baseline="0"/>
            <a:t> AND PROFIT</a:t>
          </a:r>
        </a:p>
        <a:p>
          <a:endParaRPr lang="en-IN" sz="5400" b="1" i="0"/>
        </a:p>
      </xdr:txBody>
    </xdr:sp>
    <xdr:clientData/>
  </xdr:twoCellAnchor>
  <xdr:twoCellAnchor>
    <xdr:from>
      <xdr:col>3</xdr:col>
      <xdr:colOff>555997</xdr:colOff>
      <xdr:row>8</xdr:row>
      <xdr:rowOff>57710</xdr:rowOff>
    </xdr:from>
    <xdr:to>
      <xdr:col>7</xdr:col>
      <xdr:colOff>37041</xdr:colOff>
      <xdr:row>10</xdr:row>
      <xdr:rowOff>179939</xdr:rowOff>
    </xdr:to>
    <xdr:sp macro="" textlink="">
      <xdr:nvSpPr>
        <xdr:cNvPr id="24" name="TextBox 23">
          <a:extLst>
            <a:ext uri="{FF2B5EF4-FFF2-40B4-BE49-F238E27FC236}">
              <a16:creationId xmlns:a16="http://schemas.microsoft.com/office/drawing/2014/main" id="{149150D6-9C33-53AA-C3F3-8A6665FDF88F}"/>
            </a:ext>
          </a:extLst>
        </xdr:cNvPr>
        <xdr:cNvSpPr txBox="1"/>
      </xdr:nvSpPr>
      <xdr:spPr>
        <a:xfrm>
          <a:off x="2382609" y="1516083"/>
          <a:ext cx="1916528" cy="486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TOTAL</a:t>
          </a:r>
          <a:r>
            <a:rPr lang="en-IN" sz="2000" b="1" baseline="0">
              <a:solidFill>
                <a:schemeClr val="tx1"/>
              </a:solidFill>
            </a:rPr>
            <a:t> </a:t>
          </a:r>
          <a:r>
            <a:rPr lang="en-IN" sz="1800" b="1" baseline="0">
              <a:solidFill>
                <a:schemeClr val="tx1"/>
              </a:solidFill>
            </a:rPr>
            <a:t>SALES</a:t>
          </a:r>
          <a:endParaRPr lang="en-IN" sz="1800" b="1">
            <a:solidFill>
              <a:schemeClr val="tx1"/>
            </a:solidFill>
          </a:endParaRPr>
        </a:p>
      </xdr:txBody>
    </xdr:sp>
    <xdr:clientData/>
  </xdr:twoCellAnchor>
  <xdr:twoCellAnchor>
    <xdr:from>
      <xdr:col>3</xdr:col>
      <xdr:colOff>197365</xdr:colOff>
      <xdr:row>15</xdr:row>
      <xdr:rowOff>127000</xdr:rowOff>
    </xdr:from>
    <xdr:to>
      <xdr:col>10</xdr:col>
      <xdr:colOff>420220</xdr:colOff>
      <xdr:row>31</xdr:row>
      <xdr:rowOff>115712</xdr:rowOff>
    </xdr:to>
    <xdr:graphicFrame macro="">
      <xdr:nvGraphicFramePr>
        <xdr:cNvPr id="25" name="Chart 24">
          <a:extLst>
            <a:ext uri="{FF2B5EF4-FFF2-40B4-BE49-F238E27FC236}">
              <a16:creationId xmlns:a16="http://schemas.microsoft.com/office/drawing/2014/main" id="{1D767112-AA9A-46AD-8B1B-E2049FC9A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381058</xdr:colOff>
      <xdr:row>8</xdr:row>
      <xdr:rowOff>28223</xdr:rowOff>
    </xdr:from>
    <xdr:to>
      <xdr:col>18</xdr:col>
      <xdr:colOff>128858</xdr:colOff>
      <xdr:row>33</xdr:row>
      <xdr:rowOff>119944</xdr:rowOff>
    </xdr:to>
    <mc:AlternateContent xmlns:mc="http://schemas.openxmlformats.org/markup-compatibility/2006">
      <mc:Choice xmlns:cx2="http://schemas.microsoft.com/office/drawing/2015/10/21/chartex" Requires="cx2">
        <xdr:graphicFrame macro="">
          <xdr:nvGraphicFramePr>
            <xdr:cNvPr id="26" name="Chart 25">
              <a:extLst>
                <a:ext uri="{FF2B5EF4-FFF2-40B4-BE49-F238E27FC236}">
                  <a16:creationId xmlns:a16="http://schemas.microsoft.com/office/drawing/2014/main" id="{3C46C842-0AE9-4483-85F2-4266814FCB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448836" y="1495779"/>
              <a:ext cx="4602022" cy="467783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251371</xdr:colOff>
      <xdr:row>8</xdr:row>
      <xdr:rowOff>25313</xdr:rowOff>
    </xdr:from>
    <xdr:to>
      <xdr:col>24</xdr:col>
      <xdr:colOff>488461</xdr:colOff>
      <xdr:row>20</xdr:row>
      <xdr:rowOff>119062</xdr:rowOff>
    </xdr:to>
    <xdr:graphicFrame macro="">
      <xdr:nvGraphicFramePr>
        <xdr:cNvPr id="27" name="Chart 26">
          <a:extLst>
            <a:ext uri="{FF2B5EF4-FFF2-40B4-BE49-F238E27FC236}">
              <a16:creationId xmlns:a16="http://schemas.microsoft.com/office/drawing/2014/main" id="{BE721EC3-4F44-457A-B068-9DEE222E2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219507</xdr:colOff>
      <xdr:row>31</xdr:row>
      <xdr:rowOff>92080</xdr:rowOff>
    </xdr:from>
    <xdr:to>
      <xdr:col>10</xdr:col>
      <xdr:colOff>219506</xdr:colOff>
      <xdr:row>47</xdr:row>
      <xdr:rowOff>31358</xdr:rowOff>
    </xdr:to>
    <xdr:graphicFrame macro="">
      <xdr:nvGraphicFramePr>
        <xdr:cNvPr id="29" name="Chart 28">
          <a:extLst>
            <a:ext uri="{FF2B5EF4-FFF2-40B4-BE49-F238E27FC236}">
              <a16:creationId xmlns:a16="http://schemas.microsoft.com/office/drawing/2014/main" id="{12D1321F-2423-4D6B-9B78-AFFF4B8E5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365512</xdr:colOff>
      <xdr:row>33</xdr:row>
      <xdr:rowOff>164630</xdr:rowOff>
    </xdr:from>
    <xdr:to>
      <xdr:col>24</xdr:col>
      <xdr:colOff>495084</xdr:colOff>
      <xdr:row>47</xdr:row>
      <xdr:rowOff>80537</xdr:rowOff>
    </xdr:to>
    <xdr:graphicFrame macro="">
      <xdr:nvGraphicFramePr>
        <xdr:cNvPr id="30" name="Chart 29">
          <a:extLst>
            <a:ext uri="{FF2B5EF4-FFF2-40B4-BE49-F238E27FC236}">
              <a16:creationId xmlns:a16="http://schemas.microsoft.com/office/drawing/2014/main" id="{F8D797C9-3915-40FE-8A6D-768D9BFCD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18</xdr:col>
      <xdr:colOff>244414</xdr:colOff>
      <xdr:row>22</xdr:row>
      <xdr:rowOff>1</xdr:rowOff>
    </xdr:from>
    <xdr:to>
      <xdr:col>24</xdr:col>
      <xdr:colOff>546338</xdr:colOff>
      <xdr:row>33</xdr:row>
      <xdr:rowOff>107831</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359AD492-E264-4CAE-8E9F-4D3313BCAB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66200" y="3891644"/>
              <a:ext cx="3975852" cy="205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129396</xdr:colOff>
      <xdr:row>8</xdr:row>
      <xdr:rowOff>7190</xdr:rowOff>
    </xdr:from>
    <xdr:to>
      <xdr:col>3</xdr:col>
      <xdr:colOff>121819</xdr:colOff>
      <xdr:row>29</xdr:row>
      <xdr:rowOff>150520</xdr:rowOff>
    </xdr:to>
    <mc:AlternateContent xmlns:mc="http://schemas.openxmlformats.org/markup-compatibility/2006">
      <mc:Choice xmlns:a14="http://schemas.microsoft.com/office/drawing/2010/main" Requires="a14">
        <xdr:graphicFrame macro="">
          <xdr:nvGraphicFramePr>
            <xdr:cNvPr id="18" name="Month">
              <a:extLst>
                <a:ext uri="{FF2B5EF4-FFF2-40B4-BE49-F238E27FC236}">
                  <a16:creationId xmlns:a16="http://schemas.microsoft.com/office/drawing/2014/main" id="{539ADB80-F9FE-4E2F-94CF-4C174E9E51E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9396" y="1422333"/>
              <a:ext cx="1829387" cy="3858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172528</xdr:colOff>
      <xdr:row>29</xdr:row>
      <xdr:rowOff>154461</xdr:rowOff>
    </xdr:from>
    <xdr:to>
      <xdr:col>3</xdr:col>
      <xdr:colOff>122208</xdr:colOff>
      <xdr:row>47</xdr:row>
      <xdr:rowOff>93452</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3F39410C-8568-4565-987C-3C55DE42ED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1392" y="5593970"/>
              <a:ext cx="1686486" cy="3270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486132</xdr:colOff>
      <xdr:row>11</xdr:row>
      <xdr:rowOff>127367</xdr:rowOff>
    </xdr:from>
    <xdr:to>
      <xdr:col>6</xdr:col>
      <xdr:colOff>380995</xdr:colOff>
      <xdr:row>14</xdr:row>
      <xdr:rowOff>54429</xdr:rowOff>
    </xdr:to>
    <xdr:sp macro="" textlink="Pivot_table!B4">
      <xdr:nvSpPr>
        <xdr:cNvPr id="28" name="TextBox 27">
          <a:extLst>
            <a:ext uri="{FF2B5EF4-FFF2-40B4-BE49-F238E27FC236}">
              <a16:creationId xmlns:a16="http://schemas.microsoft.com/office/drawing/2014/main" id="{49AD8EAE-BFBB-163B-6E85-3C659AB96EC0}"/>
            </a:ext>
          </a:extLst>
        </xdr:cNvPr>
        <xdr:cNvSpPr txBox="1"/>
      </xdr:nvSpPr>
      <xdr:spPr>
        <a:xfrm>
          <a:off x="2912091" y="2180102"/>
          <a:ext cx="1107843" cy="486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900520-823C-4F61-A165-C87C75EDE323}" type="TxLink">
            <a:rPr lang="en-US" sz="1500" b="1" i="0" u="none" strike="noStrike">
              <a:solidFill>
                <a:srgbClr val="000000"/>
              </a:solidFill>
              <a:effectLst/>
              <a:latin typeface="Calibri"/>
              <a:ea typeface="Calibri"/>
              <a:cs typeface="Calibri"/>
            </a:rPr>
            <a:t>₹ 96,75,232</a:t>
          </a:fld>
          <a:endParaRPr lang="en-IN" sz="1500" b="1">
            <a:solidFill>
              <a:schemeClr val="tx1"/>
            </a:solidFill>
          </a:endParaRPr>
        </a:p>
      </xdr:txBody>
    </xdr:sp>
    <xdr:clientData/>
  </xdr:twoCellAnchor>
  <xdr:twoCellAnchor>
    <xdr:from>
      <xdr:col>7</xdr:col>
      <xdr:colOff>250101</xdr:colOff>
      <xdr:row>8</xdr:row>
      <xdr:rowOff>91189</xdr:rowOff>
    </xdr:from>
    <xdr:to>
      <xdr:col>10</xdr:col>
      <xdr:colOff>224356</xdr:colOff>
      <xdr:row>10</xdr:row>
      <xdr:rowOff>65446</xdr:rowOff>
    </xdr:to>
    <xdr:sp macro="" textlink="">
      <xdr:nvSpPr>
        <xdr:cNvPr id="31" name="TextBox 30">
          <a:extLst>
            <a:ext uri="{FF2B5EF4-FFF2-40B4-BE49-F238E27FC236}">
              <a16:creationId xmlns:a16="http://schemas.microsoft.com/office/drawing/2014/main" id="{454AB499-57FF-C1C9-1282-0C9BB9668F97}"/>
            </a:ext>
          </a:extLst>
        </xdr:cNvPr>
        <xdr:cNvSpPr txBox="1"/>
      </xdr:nvSpPr>
      <xdr:spPr>
        <a:xfrm>
          <a:off x="4512197" y="1549562"/>
          <a:ext cx="1800867" cy="338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tx1"/>
              </a:solidFill>
            </a:rPr>
            <a:t>TOTAL  </a:t>
          </a:r>
          <a:r>
            <a:rPr lang="en-IN" sz="1800" b="1" baseline="0">
              <a:solidFill>
                <a:schemeClr val="tx1"/>
              </a:solidFill>
            </a:rPr>
            <a:t>PROFIT</a:t>
          </a:r>
        </a:p>
        <a:p>
          <a:endParaRPr lang="en-IN" sz="1100"/>
        </a:p>
      </xdr:txBody>
    </xdr:sp>
    <xdr:clientData/>
  </xdr:twoCellAnchor>
  <xdr:twoCellAnchor>
    <xdr:from>
      <xdr:col>8</xdr:col>
      <xdr:colOff>175117</xdr:colOff>
      <xdr:row>11</xdr:row>
      <xdr:rowOff>119591</xdr:rowOff>
    </xdr:from>
    <xdr:to>
      <xdr:col>10</xdr:col>
      <xdr:colOff>69980</xdr:colOff>
      <xdr:row>14</xdr:row>
      <xdr:rowOff>46653</xdr:rowOff>
    </xdr:to>
    <xdr:sp macro="" textlink="Pivot_table!B8">
      <xdr:nvSpPr>
        <xdr:cNvPr id="22" name="TextBox 21">
          <a:extLst>
            <a:ext uri="{FF2B5EF4-FFF2-40B4-BE49-F238E27FC236}">
              <a16:creationId xmlns:a16="http://schemas.microsoft.com/office/drawing/2014/main" id="{EAF63A0B-706A-580C-E2FD-47F4C01C2913}"/>
            </a:ext>
          </a:extLst>
        </xdr:cNvPr>
        <xdr:cNvSpPr txBox="1"/>
      </xdr:nvSpPr>
      <xdr:spPr>
        <a:xfrm>
          <a:off x="5027035" y="2172326"/>
          <a:ext cx="1107843" cy="486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B547FA-3865-40CE-BA2D-FC36234ACA29}" type="TxLink">
            <a:rPr lang="en-US" sz="1500" b="1" i="0" u="none" strike="noStrike">
              <a:solidFill>
                <a:srgbClr val="000000"/>
              </a:solidFill>
              <a:effectLst/>
              <a:latin typeface="Calibri"/>
              <a:ea typeface="Calibri"/>
              <a:cs typeface="Calibri"/>
            </a:rPr>
            <a:t>₹ 16,66,057</a:t>
          </a:fld>
          <a:endParaRPr lang="en-IN" sz="15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prithi" refreshedDate="45863.741909837961" createdVersion="8" refreshedVersion="8" minRefreshableVersion="3" recordCount="183" xr:uid="{1643C1A6-BA38-4664-ADEE-5D0CA49C18EC}">
  <cacheSource type="worksheet">
    <worksheetSource name="Table1"/>
  </cacheSource>
  <cacheFields count="10">
    <cacheField name="Order Date" numFmtId="14">
      <sharedItems containsSemiMixedTypes="0" containsNonDate="0" containsDate="1" containsString="0" minDate="2023-04-10T00:00:00" maxDate="2025-07-24T00:00:00"/>
    </cacheField>
    <cacheField name="Customer Name" numFmtId="0">
      <sharedItems count="182">
        <s v="Jason Ruiz"/>
        <s v="Amanda Perry"/>
        <s v="Jeremy Mendez"/>
        <s v="Ann Meyer"/>
        <s v="Kristin Hunt"/>
        <s v="Melissa Cook"/>
        <s v="Nicole Reynolds"/>
        <s v="Robert Leon"/>
        <s v="Michael Cortez"/>
        <s v="Michael Frost"/>
        <s v="Carlos Turner"/>
        <s v="Scott Hunt"/>
        <s v="Bailey Shaw"/>
        <s v="Derrick Estrada"/>
        <s v="Margaret Cook"/>
        <s v="Alicia Phillips"/>
        <s v="Kathy Johnson"/>
        <s v="Michael Jackson"/>
        <s v="Jennifer Carlson"/>
        <s v="Vincent Webb"/>
        <s v="Sharon Gilbert"/>
        <s v="Stacy Romero"/>
        <s v="Billy Ayala"/>
        <s v="Sandra Stanton"/>
        <s v="Michael Johnson"/>
        <s v="Deborah Moore"/>
        <s v="Travis Woodard"/>
        <s v="Robert Booker"/>
        <s v="Lisa Beltran"/>
        <s v="Kelly Brown"/>
        <s v="Roy Smith"/>
        <s v="Daniel White"/>
        <s v="Pamela Simpson"/>
        <s v="Joseph Franco"/>
        <s v="Steven Davis"/>
        <s v="Amy Simmons DDS"/>
        <s v="Edward Carlson"/>
        <s v="James Dodson"/>
        <s v="Mark Ramos"/>
        <s v="Jennifer Duran"/>
        <s v="Jeffrey Moreno"/>
        <s v="Ruben Bell"/>
        <s v="Shawn Aguilar"/>
        <s v="Michelle Franklin"/>
        <s v="John Young"/>
        <s v="Mark Myers V"/>
        <s v="Tony Glass"/>
        <s v="Jack Hernandez"/>
        <s v="Jacob Flores"/>
        <s v="Michelle Johnson"/>
        <s v="Joseph Fisher"/>
        <s v="Jordan Sparks"/>
        <s v="Scott Delgado"/>
        <s v="Cindy Sexton"/>
        <s v="Steven Bailey"/>
        <s v="Theresa Miller"/>
        <s v="Jeremy Garcia"/>
        <s v="Sandra Phillips"/>
        <s v="Tyler Baker"/>
        <s v="Courtney Krueger"/>
        <s v="Melissa Johnson"/>
        <s v="Travis Simmons"/>
        <s v="Connor Kennedy"/>
        <s v="Gabriella Spencer"/>
        <s v="Erica Walker"/>
        <s v="Jeremy Pineda"/>
        <s v="Jose Brown"/>
        <s v="Ashley Dunn"/>
        <s v="Laura Larsen"/>
        <s v="Kenneth Johnson"/>
        <s v="Julie Rodriguez"/>
        <s v="Mario Jones"/>
        <s v="Bruce Joyce"/>
        <s v="John Glover"/>
        <s v="Tina Lynn"/>
        <s v="Benjamin Baker"/>
        <s v="Brandon Thornton"/>
        <s v="Frank Austin"/>
        <s v="Joshua Atkinson"/>
        <s v="Shelby Johnson"/>
        <s v="Catherine Perez"/>
        <s v="Steven Dixon"/>
        <s v="Destiny Koch"/>
        <s v="Nicole Parsons"/>
        <s v="Zachary Maxwell"/>
        <s v="Brittany Tucker"/>
        <s v="Kimberly Wright"/>
        <s v="Matthew Williams"/>
        <s v="Tara Stone"/>
        <s v="Christina Graham"/>
        <s v="Edward Williams"/>
        <s v="Angela Preston"/>
        <s v="James Martin"/>
        <s v="Dr. Shari Strong"/>
        <s v="Ann Osborne"/>
        <s v="Robert Brown"/>
        <s v="James Holder"/>
        <s v="Patrick Hernandez"/>
        <s v="David Lopez"/>
        <s v="Brittany Nelson"/>
        <s v="Linda Mcmillan"/>
        <s v="Dylan Sparks"/>
        <s v="Amanda May"/>
        <s v="Chad Aguilar"/>
        <s v="Deborah Gutierrez"/>
        <s v="Johnny Cohen"/>
        <s v="Kenneth Frost"/>
        <s v="Chelsea Brown"/>
        <s v="Judith Lawson"/>
        <s v="Richard Werner"/>
        <s v="Timothy Hodges"/>
        <s v="Michael Gibson"/>
        <s v="Anna Gonzalez"/>
        <s v="Rebecca Baird"/>
        <s v="Alexander Watson"/>
        <s v="Sharon Johnson"/>
        <s v="Matthew Rogers"/>
        <s v="Craig Williams"/>
        <s v="Kaitlyn Contreras"/>
        <s v="Jeffrey Evans"/>
        <s v="Michaela Houston"/>
        <s v="David Floyd"/>
        <s v="Kathleen Roberson"/>
        <s v="Jeremy Watson"/>
        <s v="Kaylee Brewer"/>
        <s v="Janice Cole"/>
        <s v="Laura Hall"/>
        <s v="Ariel Campos"/>
        <s v="Andrew Bennett"/>
        <s v="Melinda Scott"/>
        <s v="David May"/>
        <s v="Kathleen Hatfield"/>
        <s v="Kimberly Todd"/>
        <s v="Alyssa Rice"/>
        <s v="Renee Mckay"/>
        <s v="Matthew Boyd"/>
        <s v="Michael Stanley"/>
        <s v="Stacey Clark"/>
        <s v="Anna Garcia"/>
        <s v="Adam Lewis"/>
        <s v="Jennifer Clayton"/>
        <s v="Johnathan Mitchell"/>
        <s v="Erik Allen"/>
        <s v="Michelle Ryan"/>
        <s v="Makayla Davis"/>
        <s v="Marc Wilson"/>
        <s v="Barbara Herrera"/>
        <s v="Patricia Atkinson"/>
        <s v="Kelly Higgins"/>
        <s v="Breanna Foster"/>
        <s v="Kristina Evans"/>
        <s v="Laura Dodson"/>
        <s v="Hannah Hardin"/>
        <s v="Christina Yang"/>
        <s v="Thomas Wilson"/>
        <s v="Jacob Mitchell"/>
        <s v="Mr. Corey Thompson"/>
        <s v="Kristen Hernandez"/>
        <s v="Kendra Mcguire"/>
        <s v="Carly Cooke"/>
        <s v="Jacob Powers"/>
        <s v="Peggy Johnson"/>
        <s v="William Hughes"/>
        <s v="Hailey Smith"/>
        <s v="Bradley Wilkins"/>
        <s v="Patrick Mann"/>
        <s v="Zachary Parker"/>
        <s v="Brittney Guerrero"/>
        <s v="Amy Hampton"/>
        <s v="Shawn Gardner"/>
        <s v="Charles Ramos"/>
        <s v="George Holmes"/>
        <s v="Dr. Caleb Frye DDS"/>
        <s v="Kathleen Miller"/>
        <s v="Shirley Phillips"/>
        <s v="William Padilla"/>
        <s v="Scott Gates"/>
        <s v="Sharon Porter"/>
        <s v="Jennifer Hernandez"/>
        <s v="Mrs. Sara Ruiz"/>
        <s v="Scott Thompson"/>
        <s v="Crystal Carpenter"/>
      </sharedItems>
    </cacheField>
    <cacheField name="Indian State" numFmtId="0">
      <sharedItems count="18">
        <s v="Odisha"/>
        <s v="Delhi"/>
        <s v="Uttar Pradesh"/>
        <s v="Rajasthan"/>
        <s v="Tamil Nadu"/>
        <s v="Bihar"/>
        <s v="Punjab"/>
        <s v="Kerala"/>
        <s v="West Bengal"/>
        <s v="Chhattisgarh"/>
        <s v="Madhya Pradesh"/>
        <s v="Telangana"/>
        <s v="Karnataka"/>
        <s v="Maharashtra"/>
        <s v="Gujarat"/>
        <s v="Andhra Pradesh"/>
        <s v="Haryana"/>
        <s v="Assam"/>
      </sharedItems>
    </cacheField>
    <cacheField name="Category" numFmtId="0">
      <sharedItems count="3">
        <s v="Office Supplies"/>
        <s v="Furniture"/>
        <s v="Technology"/>
      </sharedItems>
    </cacheField>
    <cacheField name="Sub-Category" numFmtId="0">
      <sharedItems count="12">
        <s v="Labels"/>
        <s v="Furnishings"/>
        <s v="Bookcases"/>
        <s v="Monitors"/>
        <s v="Envelopes"/>
        <s v="Binders"/>
        <s v="Accessories"/>
        <s v="Paper"/>
        <s v="Phones"/>
        <s v="Chairs"/>
        <s v="Laptops"/>
        <s v="Tables"/>
      </sharedItems>
    </cacheField>
    <cacheField name="sales" numFmtId="0">
      <sharedItems containsSemiMixedTypes="0" containsString="0" containsNumber="1" minValue="1529.43" maxValue="99647.88" count="183">
        <n v="68961.17"/>
        <n v="12536.13"/>
        <n v="27765.9"/>
        <n v="47235.32"/>
        <n v="3370.82"/>
        <n v="58057.62"/>
        <n v="96508.57"/>
        <n v="71713.91"/>
        <n v="47381.22"/>
        <n v="33127.83"/>
        <n v="78281.850000000006"/>
        <n v="4746.6000000000004"/>
        <n v="8886.4"/>
        <n v="78903.05"/>
        <n v="68704.03"/>
        <n v="50110.94"/>
        <n v="44949.91"/>
        <n v="82450.649999999994"/>
        <n v="59492.25"/>
        <n v="4287.8"/>
        <n v="81755.98"/>
        <n v="56831.51"/>
        <n v="11864.82"/>
        <n v="64342.8"/>
        <n v="97455.89"/>
        <n v="70989.64"/>
        <n v="50714.82"/>
        <n v="65385.440000000002"/>
        <n v="64819.97"/>
        <n v="13939.56"/>
        <n v="26392.39"/>
        <n v="58505.67"/>
        <n v="88585.62"/>
        <n v="77573.100000000006"/>
        <n v="8261.83"/>
        <n v="2371.3200000000002"/>
        <n v="4646.99"/>
        <n v="78230.720000000001"/>
        <n v="99196.32"/>
        <n v="80054.59"/>
        <n v="97195.08"/>
        <n v="44236.12"/>
        <n v="94958.12"/>
        <n v="95326.34"/>
        <n v="14491.37"/>
        <n v="84077.03"/>
        <n v="12313.4"/>
        <n v="43113.4"/>
        <n v="70433"/>
        <n v="83127.13"/>
        <n v="24414.3"/>
        <n v="57981.07"/>
        <n v="71901.119999999995"/>
        <n v="42620.160000000003"/>
        <n v="74758.990000000005"/>
        <n v="74900.759999999995"/>
        <n v="92363.64"/>
        <n v="58243.26"/>
        <n v="11337.33"/>
        <n v="50890.44"/>
        <n v="2999.56"/>
        <n v="83977.27"/>
        <n v="2258.23"/>
        <n v="95268.12"/>
        <n v="42367.19"/>
        <n v="22099.86"/>
        <n v="92656.33"/>
        <n v="40878.51"/>
        <n v="90122.81"/>
        <n v="29874.57"/>
        <n v="4704.24"/>
        <n v="81646.37"/>
        <n v="89536.99"/>
        <n v="39021.54"/>
        <n v="45366.57"/>
        <n v="76289.78"/>
        <n v="81497.149999999994"/>
        <n v="60608.11"/>
        <n v="41733.94"/>
        <n v="79913.820000000007"/>
        <n v="95719.47"/>
        <n v="22160.15"/>
        <n v="44322.73"/>
        <n v="8916.2999999999993"/>
        <n v="34466.949999999997"/>
        <n v="47310.94"/>
        <n v="12082.08"/>
        <n v="28556.82"/>
        <n v="13531.44"/>
        <n v="65987.02"/>
        <n v="1529.43"/>
        <n v="91355.36"/>
        <n v="92103.49"/>
        <n v="22513.31"/>
        <n v="4622.3100000000004"/>
        <n v="66484.02"/>
        <n v="95913"/>
        <n v="78052.53"/>
        <n v="70861.899999999994"/>
        <n v="12539.18"/>
        <n v="54760.66"/>
        <n v="3647.67"/>
        <n v="79005.240000000005"/>
        <n v="31887.29"/>
        <n v="46816.160000000003"/>
        <n v="20358.939999999999"/>
        <n v="47963.87"/>
        <n v="61406.57"/>
        <n v="99051.5"/>
        <n v="9452.0300000000007"/>
        <n v="47138.76"/>
        <n v="68942.2"/>
        <n v="95418.19"/>
        <n v="40549.68"/>
        <n v="42590.6"/>
        <n v="40064.74"/>
        <n v="58026.11"/>
        <n v="29305.98"/>
        <n v="76334.149999999994"/>
        <n v="44898.77"/>
        <n v="61977.08"/>
        <n v="47899.22"/>
        <n v="42419.19"/>
        <n v="77662.61"/>
        <n v="71056.479999999996"/>
        <n v="73288.649999999994"/>
        <n v="78960.63"/>
        <n v="96473.1"/>
        <n v="28219.78"/>
        <n v="41888.46"/>
        <n v="25440.02"/>
        <n v="71876.649999999994"/>
        <n v="84735.35"/>
        <n v="84071.17"/>
        <n v="93460.6"/>
        <n v="51260.67"/>
        <n v="65414.71"/>
        <n v="9262.75"/>
        <n v="35862.83"/>
        <n v="3678.6"/>
        <n v="84994.71"/>
        <n v="61945.08"/>
        <n v="26301.63"/>
        <n v="52991.58"/>
        <n v="61820.05"/>
        <n v="62975.86"/>
        <n v="72951"/>
        <n v="4622.6899999999996"/>
        <n v="68484.5"/>
        <n v="1925.97"/>
        <n v="79635.25"/>
        <n v="38058.89"/>
        <n v="70097.17"/>
        <n v="34010.51"/>
        <n v="77346.31"/>
        <n v="61931.78"/>
        <n v="41527.17"/>
        <n v="14560.59"/>
        <n v="63626.16"/>
        <n v="51061.279999999999"/>
        <n v="24107.88"/>
        <n v="15265.06"/>
        <n v="62863.15"/>
        <n v="46291.67"/>
        <n v="56825.63"/>
        <n v="31700.34"/>
        <n v="99647.88"/>
        <n v="53071.21"/>
        <n v="35126.68"/>
        <n v="87771.65"/>
        <n v="87403.85"/>
        <n v="42591.199999999997"/>
        <n v="94479.54"/>
        <n v="15169.8"/>
        <n v="82361.87"/>
        <n v="7490.58"/>
        <n v="62111.93"/>
        <n v="7533.28"/>
        <n v="8658.64"/>
        <n v="89090.97"/>
        <n v="85234.91"/>
        <n v="48884.42"/>
        <n v="98231.76"/>
      </sharedItems>
    </cacheField>
    <cacheField name="Quantity" numFmtId="0">
      <sharedItems containsSemiMixedTypes="0" containsString="0" containsNumber="1" containsInteger="1" minValue="1" maxValue="10"/>
    </cacheField>
    <cacheField name="Profit " numFmtId="0">
      <sharedItems containsSemiMixedTypes="0" containsString="0" containsNumber="1" minValue="248.51" maxValue="28436.26"/>
    </cacheField>
    <cacheField name="Month" numFmtId="0">
      <sharedItems count="12">
        <s v="May"/>
        <s v="February"/>
        <s v="April"/>
        <s v="October"/>
        <s v="July"/>
        <s v="December"/>
        <s v="August"/>
        <s v="June"/>
        <s v="November"/>
        <s v="January"/>
        <s v="September"/>
        <s v="March"/>
      </sharedItems>
    </cacheField>
    <cacheField name="Year" numFmtId="0">
      <sharedItems containsSemiMixedTypes="0" containsString="0" containsNumber="1" containsInteger="1" minValue="2023" maxValue="2025" count="3">
        <n v="2025"/>
        <n v="2024"/>
        <n v="2023"/>
      </sharedItems>
    </cacheField>
  </cacheFields>
  <extLst>
    <ext xmlns:x14="http://schemas.microsoft.com/office/spreadsheetml/2009/9/main" uri="{725AE2AE-9491-48be-B2B4-4EB974FC3084}">
      <x14:pivotCacheDefinition pivotCacheId="673069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3">
  <r>
    <d v="2025-05-29T00:00:00"/>
    <x v="0"/>
    <x v="0"/>
    <x v="0"/>
    <x v="0"/>
    <x v="0"/>
    <n v="5"/>
    <n v="18180.05"/>
    <x v="0"/>
    <x v="0"/>
  </r>
  <r>
    <d v="2025-02-02T00:00:00"/>
    <x v="1"/>
    <x v="1"/>
    <x v="1"/>
    <x v="1"/>
    <x v="1"/>
    <n v="7"/>
    <n v="2356.86"/>
    <x v="1"/>
    <x v="0"/>
  </r>
  <r>
    <d v="2025-04-25T00:00:00"/>
    <x v="2"/>
    <x v="2"/>
    <x v="0"/>
    <x v="0"/>
    <x v="2"/>
    <n v="5"/>
    <n v="7166.34"/>
    <x v="2"/>
    <x v="0"/>
  </r>
  <r>
    <d v="2024-10-07T00:00:00"/>
    <x v="3"/>
    <x v="2"/>
    <x v="1"/>
    <x v="2"/>
    <x v="3"/>
    <n v="4"/>
    <n v="5461.32"/>
    <x v="3"/>
    <x v="1"/>
  </r>
  <r>
    <d v="2025-07-02T00:00:00"/>
    <x v="4"/>
    <x v="0"/>
    <x v="2"/>
    <x v="3"/>
    <x v="4"/>
    <n v="10"/>
    <n v="804.21"/>
    <x v="4"/>
    <x v="0"/>
  </r>
  <r>
    <d v="2023-12-15T00:00:00"/>
    <x v="5"/>
    <x v="3"/>
    <x v="0"/>
    <x v="4"/>
    <x v="5"/>
    <n v="10"/>
    <n v="7685.19"/>
    <x v="5"/>
    <x v="2"/>
  </r>
  <r>
    <d v="2025-05-21T00:00:00"/>
    <x v="6"/>
    <x v="4"/>
    <x v="2"/>
    <x v="3"/>
    <x v="6"/>
    <n v="2"/>
    <n v="6378.02"/>
    <x v="0"/>
    <x v="0"/>
  </r>
  <r>
    <d v="2024-10-14T00:00:00"/>
    <x v="7"/>
    <x v="5"/>
    <x v="0"/>
    <x v="5"/>
    <x v="7"/>
    <n v="10"/>
    <n v="13273.33"/>
    <x v="3"/>
    <x v="1"/>
  </r>
  <r>
    <d v="2025-02-01T00:00:00"/>
    <x v="8"/>
    <x v="0"/>
    <x v="2"/>
    <x v="6"/>
    <x v="8"/>
    <n v="2"/>
    <n v="10309.530000000001"/>
    <x v="1"/>
    <x v="0"/>
  </r>
  <r>
    <d v="2024-08-11T00:00:00"/>
    <x v="9"/>
    <x v="6"/>
    <x v="0"/>
    <x v="4"/>
    <x v="9"/>
    <n v="6"/>
    <n v="3968.33"/>
    <x v="6"/>
    <x v="1"/>
  </r>
  <r>
    <d v="2025-06-13T00:00:00"/>
    <x v="10"/>
    <x v="7"/>
    <x v="0"/>
    <x v="7"/>
    <x v="10"/>
    <n v="4"/>
    <n v="5846.84"/>
    <x v="7"/>
    <x v="0"/>
  </r>
  <r>
    <d v="2023-11-02T00:00:00"/>
    <x v="11"/>
    <x v="8"/>
    <x v="2"/>
    <x v="3"/>
    <x v="11"/>
    <n v="1"/>
    <n v="958.04"/>
    <x v="8"/>
    <x v="2"/>
  </r>
  <r>
    <d v="2025-05-17T00:00:00"/>
    <x v="12"/>
    <x v="8"/>
    <x v="2"/>
    <x v="6"/>
    <x v="12"/>
    <n v="1"/>
    <n v="2465.04"/>
    <x v="0"/>
    <x v="0"/>
  </r>
  <r>
    <d v="2024-12-23T00:00:00"/>
    <x v="13"/>
    <x v="9"/>
    <x v="0"/>
    <x v="4"/>
    <x v="13"/>
    <n v="8"/>
    <n v="16342.92"/>
    <x v="5"/>
    <x v="1"/>
  </r>
  <r>
    <d v="2024-10-22T00:00:00"/>
    <x v="14"/>
    <x v="7"/>
    <x v="0"/>
    <x v="4"/>
    <x v="14"/>
    <n v="5"/>
    <n v="7772.04"/>
    <x v="3"/>
    <x v="1"/>
  </r>
  <r>
    <d v="2024-10-07T00:00:00"/>
    <x v="15"/>
    <x v="0"/>
    <x v="0"/>
    <x v="0"/>
    <x v="15"/>
    <n v="7"/>
    <n v="14651.31"/>
    <x v="3"/>
    <x v="1"/>
  </r>
  <r>
    <d v="2025-06-23T00:00:00"/>
    <x v="16"/>
    <x v="10"/>
    <x v="2"/>
    <x v="8"/>
    <x v="16"/>
    <n v="2"/>
    <n v="5112.1000000000004"/>
    <x v="7"/>
    <x v="0"/>
  </r>
  <r>
    <d v="2024-11-03T00:00:00"/>
    <x v="17"/>
    <x v="9"/>
    <x v="1"/>
    <x v="9"/>
    <x v="17"/>
    <n v="9"/>
    <n v="20730.71"/>
    <x v="8"/>
    <x v="1"/>
  </r>
  <r>
    <d v="2024-10-15T00:00:00"/>
    <x v="18"/>
    <x v="11"/>
    <x v="0"/>
    <x v="4"/>
    <x v="18"/>
    <n v="9"/>
    <n v="3667"/>
    <x v="3"/>
    <x v="1"/>
  </r>
  <r>
    <d v="2025-01-26T00:00:00"/>
    <x v="19"/>
    <x v="3"/>
    <x v="0"/>
    <x v="5"/>
    <x v="19"/>
    <n v="4"/>
    <n v="636.17999999999995"/>
    <x v="9"/>
    <x v="0"/>
  </r>
  <r>
    <d v="2023-07-08T00:00:00"/>
    <x v="20"/>
    <x v="3"/>
    <x v="1"/>
    <x v="1"/>
    <x v="20"/>
    <n v="1"/>
    <n v="19585.150000000001"/>
    <x v="4"/>
    <x v="2"/>
  </r>
  <r>
    <d v="2024-09-10T00:00:00"/>
    <x v="21"/>
    <x v="12"/>
    <x v="0"/>
    <x v="0"/>
    <x v="21"/>
    <n v="5"/>
    <n v="15616.31"/>
    <x v="10"/>
    <x v="1"/>
  </r>
  <r>
    <d v="2024-12-29T00:00:00"/>
    <x v="22"/>
    <x v="3"/>
    <x v="1"/>
    <x v="9"/>
    <x v="22"/>
    <n v="2"/>
    <n v="3062.3"/>
    <x v="5"/>
    <x v="1"/>
  </r>
  <r>
    <d v="2025-03-02T00:00:00"/>
    <x v="23"/>
    <x v="6"/>
    <x v="0"/>
    <x v="0"/>
    <x v="23"/>
    <n v="10"/>
    <n v="5825.33"/>
    <x v="11"/>
    <x v="0"/>
  </r>
  <r>
    <d v="2025-05-19T00:00:00"/>
    <x v="24"/>
    <x v="7"/>
    <x v="2"/>
    <x v="10"/>
    <x v="24"/>
    <n v="8"/>
    <n v="28436.26"/>
    <x v="0"/>
    <x v="0"/>
  </r>
  <r>
    <d v="2025-06-11T00:00:00"/>
    <x v="25"/>
    <x v="13"/>
    <x v="1"/>
    <x v="2"/>
    <x v="25"/>
    <n v="6"/>
    <n v="8548.1"/>
    <x v="7"/>
    <x v="0"/>
  </r>
  <r>
    <d v="2025-05-01T00:00:00"/>
    <x v="26"/>
    <x v="14"/>
    <x v="1"/>
    <x v="11"/>
    <x v="26"/>
    <n v="5"/>
    <n v="4819.93"/>
    <x v="0"/>
    <x v="0"/>
  </r>
  <r>
    <d v="2025-07-23T00:00:00"/>
    <x v="27"/>
    <x v="13"/>
    <x v="1"/>
    <x v="2"/>
    <x v="27"/>
    <n v="10"/>
    <n v="9780.85"/>
    <x v="4"/>
    <x v="0"/>
  </r>
  <r>
    <d v="2024-08-01T00:00:00"/>
    <x v="28"/>
    <x v="5"/>
    <x v="1"/>
    <x v="1"/>
    <x v="28"/>
    <n v="8"/>
    <n v="4819.34"/>
    <x v="6"/>
    <x v="1"/>
  </r>
  <r>
    <d v="2024-09-16T00:00:00"/>
    <x v="29"/>
    <x v="11"/>
    <x v="2"/>
    <x v="6"/>
    <x v="29"/>
    <n v="1"/>
    <n v="2040.31"/>
    <x v="10"/>
    <x v="1"/>
  </r>
  <r>
    <d v="2024-10-14T00:00:00"/>
    <x v="30"/>
    <x v="6"/>
    <x v="0"/>
    <x v="7"/>
    <x v="30"/>
    <n v="6"/>
    <n v="1684.64"/>
    <x v="3"/>
    <x v="1"/>
  </r>
  <r>
    <d v="2024-09-17T00:00:00"/>
    <x v="31"/>
    <x v="8"/>
    <x v="0"/>
    <x v="7"/>
    <x v="31"/>
    <n v="4"/>
    <n v="16353.74"/>
    <x v="10"/>
    <x v="1"/>
  </r>
  <r>
    <d v="2024-11-13T00:00:00"/>
    <x v="32"/>
    <x v="15"/>
    <x v="2"/>
    <x v="3"/>
    <x v="32"/>
    <n v="2"/>
    <n v="21632.86"/>
    <x v="8"/>
    <x v="1"/>
  </r>
  <r>
    <d v="2025-06-16T00:00:00"/>
    <x v="33"/>
    <x v="16"/>
    <x v="1"/>
    <x v="2"/>
    <x v="33"/>
    <n v="4"/>
    <n v="22364.41"/>
    <x v="7"/>
    <x v="0"/>
  </r>
  <r>
    <d v="2024-08-07T00:00:00"/>
    <x v="34"/>
    <x v="9"/>
    <x v="1"/>
    <x v="2"/>
    <x v="34"/>
    <n v="1"/>
    <n v="2255.3000000000002"/>
    <x v="6"/>
    <x v="1"/>
  </r>
  <r>
    <d v="2025-01-06T00:00:00"/>
    <x v="35"/>
    <x v="3"/>
    <x v="2"/>
    <x v="6"/>
    <x v="35"/>
    <n v="1"/>
    <n v="248.51"/>
    <x v="9"/>
    <x v="0"/>
  </r>
  <r>
    <d v="2024-11-21T00:00:00"/>
    <x v="36"/>
    <x v="15"/>
    <x v="0"/>
    <x v="4"/>
    <x v="36"/>
    <n v="2"/>
    <n v="351.32"/>
    <x v="8"/>
    <x v="1"/>
  </r>
  <r>
    <d v="2024-10-23T00:00:00"/>
    <x v="37"/>
    <x v="11"/>
    <x v="1"/>
    <x v="11"/>
    <x v="37"/>
    <n v="9"/>
    <n v="10236.19"/>
    <x v="3"/>
    <x v="1"/>
  </r>
  <r>
    <d v="2025-04-05T00:00:00"/>
    <x v="38"/>
    <x v="8"/>
    <x v="0"/>
    <x v="0"/>
    <x v="38"/>
    <n v="3"/>
    <n v="18179.349999999999"/>
    <x v="2"/>
    <x v="0"/>
  </r>
  <r>
    <d v="2024-11-03T00:00:00"/>
    <x v="39"/>
    <x v="12"/>
    <x v="1"/>
    <x v="2"/>
    <x v="39"/>
    <n v="4"/>
    <n v="16357.83"/>
    <x v="8"/>
    <x v="1"/>
  </r>
  <r>
    <d v="2025-05-19T00:00:00"/>
    <x v="40"/>
    <x v="10"/>
    <x v="1"/>
    <x v="2"/>
    <x v="40"/>
    <n v="8"/>
    <n v="13740.31"/>
    <x v="0"/>
    <x v="0"/>
  </r>
  <r>
    <d v="2025-03-04T00:00:00"/>
    <x v="41"/>
    <x v="15"/>
    <x v="1"/>
    <x v="1"/>
    <x v="41"/>
    <n v="7"/>
    <n v="7176.67"/>
    <x v="11"/>
    <x v="0"/>
  </r>
  <r>
    <d v="2023-04-10T00:00:00"/>
    <x v="42"/>
    <x v="1"/>
    <x v="2"/>
    <x v="3"/>
    <x v="42"/>
    <n v="3"/>
    <n v="8466.25"/>
    <x v="2"/>
    <x v="2"/>
  </r>
  <r>
    <d v="2024-10-30T00:00:00"/>
    <x v="43"/>
    <x v="8"/>
    <x v="2"/>
    <x v="6"/>
    <x v="43"/>
    <n v="6"/>
    <n v="20621.98"/>
    <x v="3"/>
    <x v="1"/>
  </r>
  <r>
    <d v="2025-07-01T00:00:00"/>
    <x v="44"/>
    <x v="6"/>
    <x v="1"/>
    <x v="9"/>
    <x v="44"/>
    <n v="6"/>
    <n v="2087.89"/>
    <x v="4"/>
    <x v="0"/>
  </r>
  <r>
    <d v="2024-11-29T00:00:00"/>
    <x v="45"/>
    <x v="12"/>
    <x v="2"/>
    <x v="3"/>
    <x v="45"/>
    <n v="9"/>
    <n v="10539.26"/>
    <x v="8"/>
    <x v="1"/>
  </r>
  <r>
    <d v="2025-05-09T00:00:00"/>
    <x v="46"/>
    <x v="6"/>
    <x v="1"/>
    <x v="9"/>
    <x v="46"/>
    <n v="6"/>
    <n v="934.11"/>
    <x v="0"/>
    <x v="0"/>
  </r>
  <r>
    <d v="2025-04-17T00:00:00"/>
    <x v="47"/>
    <x v="14"/>
    <x v="0"/>
    <x v="5"/>
    <x v="47"/>
    <n v="8"/>
    <n v="12390.65"/>
    <x v="2"/>
    <x v="0"/>
  </r>
  <r>
    <d v="2025-05-01T00:00:00"/>
    <x v="48"/>
    <x v="8"/>
    <x v="0"/>
    <x v="0"/>
    <x v="48"/>
    <n v="7"/>
    <n v="18880.5"/>
    <x v="0"/>
    <x v="0"/>
  </r>
  <r>
    <d v="2025-02-04T00:00:00"/>
    <x v="49"/>
    <x v="1"/>
    <x v="0"/>
    <x v="0"/>
    <x v="49"/>
    <n v="2"/>
    <n v="17972.61"/>
    <x v="1"/>
    <x v="0"/>
  </r>
  <r>
    <d v="2025-04-01T00:00:00"/>
    <x v="50"/>
    <x v="2"/>
    <x v="2"/>
    <x v="8"/>
    <x v="50"/>
    <n v="1"/>
    <n v="6570.62"/>
    <x v="2"/>
    <x v="0"/>
  </r>
  <r>
    <d v="2024-09-23T00:00:00"/>
    <x v="51"/>
    <x v="13"/>
    <x v="0"/>
    <x v="0"/>
    <x v="51"/>
    <n v="3"/>
    <n v="14923.79"/>
    <x v="10"/>
    <x v="1"/>
  </r>
  <r>
    <d v="2025-01-27T00:00:00"/>
    <x v="52"/>
    <x v="6"/>
    <x v="0"/>
    <x v="0"/>
    <x v="52"/>
    <n v="8"/>
    <n v="15746.88"/>
    <x v="9"/>
    <x v="0"/>
  </r>
  <r>
    <d v="2024-09-28T00:00:00"/>
    <x v="53"/>
    <x v="17"/>
    <x v="0"/>
    <x v="0"/>
    <x v="53"/>
    <n v="9"/>
    <n v="11535.22"/>
    <x v="10"/>
    <x v="1"/>
  </r>
  <r>
    <d v="2024-11-11T00:00:00"/>
    <x v="54"/>
    <x v="10"/>
    <x v="1"/>
    <x v="2"/>
    <x v="54"/>
    <n v="7"/>
    <n v="7081.53"/>
    <x v="8"/>
    <x v="1"/>
  </r>
  <r>
    <d v="2025-01-08T00:00:00"/>
    <x v="55"/>
    <x v="13"/>
    <x v="2"/>
    <x v="3"/>
    <x v="55"/>
    <n v="9"/>
    <n v="10056.790000000001"/>
    <x v="9"/>
    <x v="0"/>
  </r>
  <r>
    <d v="2024-12-03T00:00:00"/>
    <x v="56"/>
    <x v="12"/>
    <x v="1"/>
    <x v="11"/>
    <x v="56"/>
    <n v="6"/>
    <n v="9028.8700000000008"/>
    <x v="5"/>
    <x v="1"/>
  </r>
  <r>
    <d v="2024-08-06T00:00:00"/>
    <x v="57"/>
    <x v="3"/>
    <x v="0"/>
    <x v="0"/>
    <x v="57"/>
    <n v="5"/>
    <n v="6874.06"/>
    <x v="6"/>
    <x v="1"/>
  </r>
  <r>
    <d v="2024-09-20T00:00:00"/>
    <x v="58"/>
    <x v="9"/>
    <x v="2"/>
    <x v="3"/>
    <x v="58"/>
    <n v="1"/>
    <n v="2065.85"/>
    <x v="10"/>
    <x v="1"/>
  </r>
  <r>
    <d v="2024-10-15T00:00:00"/>
    <x v="59"/>
    <x v="11"/>
    <x v="1"/>
    <x v="11"/>
    <x v="59"/>
    <n v="3"/>
    <n v="14425.39"/>
    <x v="3"/>
    <x v="1"/>
  </r>
  <r>
    <d v="2025-05-30T00:00:00"/>
    <x v="60"/>
    <x v="16"/>
    <x v="1"/>
    <x v="2"/>
    <x v="60"/>
    <n v="4"/>
    <n v="406.89"/>
    <x v="0"/>
    <x v="0"/>
  </r>
  <r>
    <d v="2024-08-30T00:00:00"/>
    <x v="61"/>
    <x v="9"/>
    <x v="2"/>
    <x v="3"/>
    <x v="61"/>
    <n v="1"/>
    <n v="7789.65"/>
    <x v="6"/>
    <x v="1"/>
  </r>
  <r>
    <d v="2024-11-08T00:00:00"/>
    <x v="62"/>
    <x v="17"/>
    <x v="2"/>
    <x v="8"/>
    <x v="62"/>
    <n v="3"/>
    <n v="549.09"/>
    <x v="8"/>
    <x v="1"/>
  </r>
  <r>
    <d v="2025-07-01T00:00:00"/>
    <x v="63"/>
    <x v="14"/>
    <x v="2"/>
    <x v="10"/>
    <x v="63"/>
    <n v="7"/>
    <n v="11736.29"/>
    <x v="4"/>
    <x v="0"/>
  </r>
  <r>
    <d v="2024-09-19T00:00:00"/>
    <x v="64"/>
    <x v="12"/>
    <x v="1"/>
    <x v="2"/>
    <x v="64"/>
    <n v="10"/>
    <n v="5875.5"/>
    <x v="10"/>
    <x v="1"/>
  </r>
  <r>
    <d v="2024-09-09T00:00:00"/>
    <x v="65"/>
    <x v="5"/>
    <x v="0"/>
    <x v="0"/>
    <x v="65"/>
    <n v="3"/>
    <n v="1449.35"/>
    <x v="10"/>
    <x v="1"/>
  </r>
  <r>
    <d v="2025-05-16T00:00:00"/>
    <x v="66"/>
    <x v="8"/>
    <x v="1"/>
    <x v="9"/>
    <x v="66"/>
    <n v="9"/>
    <n v="13724.13"/>
    <x v="0"/>
    <x v="0"/>
  </r>
  <r>
    <d v="2024-12-09T00:00:00"/>
    <x v="67"/>
    <x v="4"/>
    <x v="0"/>
    <x v="0"/>
    <x v="67"/>
    <n v="9"/>
    <n v="11467.02"/>
    <x v="5"/>
    <x v="1"/>
  </r>
  <r>
    <d v="2025-02-28T00:00:00"/>
    <x v="68"/>
    <x v="12"/>
    <x v="0"/>
    <x v="4"/>
    <x v="68"/>
    <n v="5"/>
    <n v="14881.61"/>
    <x v="1"/>
    <x v="0"/>
  </r>
  <r>
    <d v="2024-08-29T00:00:00"/>
    <x v="69"/>
    <x v="14"/>
    <x v="2"/>
    <x v="8"/>
    <x v="69"/>
    <n v="8"/>
    <n v="8613.51"/>
    <x v="6"/>
    <x v="1"/>
  </r>
  <r>
    <d v="2024-12-02T00:00:00"/>
    <x v="70"/>
    <x v="1"/>
    <x v="2"/>
    <x v="3"/>
    <x v="70"/>
    <n v="10"/>
    <n v="1163.0999999999999"/>
    <x v="5"/>
    <x v="1"/>
  </r>
  <r>
    <d v="2025-05-07T00:00:00"/>
    <x v="71"/>
    <x v="17"/>
    <x v="2"/>
    <x v="8"/>
    <x v="71"/>
    <n v="5"/>
    <n v="12887.24"/>
    <x v="0"/>
    <x v="0"/>
  </r>
  <r>
    <d v="2024-12-10T00:00:00"/>
    <x v="72"/>
    <x v="0"/>
    <x v="2"/>
    <x v="3"/>
    <x v="72"/>
    <n v="10"/>
    <n v="21693.57"/>
    <x v="5"/>
    <x v="1"/>
  </r>
  <r>
    <d v="2024-12-28T00:00:00"/>
    <x v="73"/>
    <x v="16"/>
    <x v="2"/>
    <x v="10"/>
    <x v="73"/>
    <n v="3"/>
    <n v="2738.8"/>
    <x v="5"/>
    <x v="1"/>
  </r>
  <r>
    <d v="2025-04-24T00:00:00"/>
    <x v="74"/>
    <x v="17"/>
    <x v="0"/>
    <x v="7"/>
    <x v="74"/>
    <n v="1"/>
    <n v="7506.49"/>
    <x v="2"/>
    <x v="0"/>
  </r>
  <r>
    <d v="2024-11-22T00:00:00"/>
    <x v="75"/>
    <x v="10"/>
    <x v="1"/>
    <x v="1"/>
    <x v="75"/>
    <n v="6"/>
    <n v="13838.15"/>
    <x v="8"/>
    <x v="1"/>
  </r>
  <r>
    <d v="2025-01-15T00:00:00"/>
    <x v="76"/>
    <x v="4"/>
    <x v="1"/>
    <x v="9"/>
    <x v="76"/>
    <n v="7"/>
    <n v="8814.8799999999992"/>
    <x v="9"/>
    <x v="0"/>
  </r>
  <r>
    <d v="2025-04-23T00:00:00"/>
    <x v="77"/>
    <x v="13"/>
    <x v="2"/>
    <x v="3"/>
    <x v="77"/>
    <n v="10"/>
    <n v="12557.12"/>
    <x v="2"/>
    <x v="0"/>
  </r>
  <r>
    <d v="2025-03-05T00:00:00"/>
    <x v="78"/>
    <x v="4"/>
    <x v="2"/>
    <x v="3"/>
    <x v="78"/>
    <n v="2"/>
    <n v="11556.45"/>
    <x v="11"/>
    <x v="0"/>
  </r>
  <r>
    <d v="2025-01-09T00:00:00"/>
    <x v="79"/>
    <x v="10"/>
    <x v="0"/>
    <x v="4"/>
    <x v="79"/>
    <n v="10"/>
    <n v="10138.780000000001"/>
    <x v="9"/>
    <x v="0"/>
  </r>
  <r>
    <d v="2024-10-20T00:00:00"/>
    <x v="80"/>
    <x v="7"/>
    <x v="2"/>
    <x v="6"/>
    <x v="80"/>
    <n v="8"/>
    <n v="6309.45"/>
    <x v="3"/>
    <x v="1"/>
  </r>
  <r>
    <d v="2024-09-04T00:00:00"/>
    <x v="81"/>
    <x v="15"/>
    <x v="2"/>
    <x v="6"/>
    <x v="81"/>
    <n v="3"/>
    <n v="2926.64"/>
    <x v="10"/>
    <x v="1"/>
  </r>
  <r>
    <d v="2024-12-21T00:00:00"/>
    <x v="82"/>
    <x v="0"/>
    <x v="0"/>
    <x v="0"/>
    <x v="82"/>
    <n v="5"/>
    <n v="11044.25"/>
    <x v="5"/>
    <x v="1"/>
  </r>
  <r>
    <d v="2024-12-14T00:00:00"/>
    <x v="83"/>
    <x v="6"/>
    <x v="0"/>
    <x v="0"/>
    <x v="83"/>
    <n v="3"/>
    <n v="1246.8599999999999"/>
    <x v="5"/>
    <x v="1"/>
  </r>
  <r>
    <d v="2024-08-01T00:00:00"/>
    <x v="84"/>
    <x v="13"/>
    <x v="1"/>
    <x v="1"/>
    <x v="84"/>
    <n v="8"/>
    <n v="7976.42"/>
    <x v="6"/>
    <x v="1"/>
  </r>
  <r>
    <d v="2025-04-14T00:00:00"/>
    <x v="85"/>
    <x v="16"/>
    <x v="0"/>
    <x v="5"/>
    <x v="85"/>
    <n v="6"/>
    <n v="3614.21"/>
    <x v="2"/>
    <x v="0"/>
  </r>
  <r>
    <d v="2024-12-05T00:00:00"/>
    <x v="86"/>
    <x v="8"/>
    <x v="2"/>
    <x v="6"/>
    <x v="86"/>
    <n v="4"/>
    <n v="3483.59"/>
    <x v="5"/>
    <x v="1"/>
  </r>
  <r>
    <d v="2025-04-29T00:00:00"/>
    <x v="87"/>
    <x v="1"/>
    <x v="1"/>
    <x v="2"/>
    <x v="87"/>
    <n v="5"/>
    <n v="3655"/>
    <x v="2"/>
    <x v="0"/>
  </r>
  <r>
    <d v="2025-01-11T00:00:00"/>
    <x v="88"/>
    <x v="13"/>
    <x v="0"/>
    <x v="5"/>
    <x v="88"/>
    <n v="1"/>
    <n v="2759.17"/>
    <x v="9"/>
    <x v="0"/>
  </r>
  <r>
    <d v="2024-11-28T00:00:00"/>
    <x v="89"/>
    <x v="4"/>
    <x v="2"/>
    <x v="8"/>
    <x v="89"/>
    <n v="2"/>
    <n v="17708.080000000002"/>
    <x v="8"/>
    <x v="1"/>
  </r>
  <r>
    <d v="2024-11-17T00:00:00"/>
    <x v="90"/>
    <x v="11"/>
    <x v="2"/>
    <x v="8"/>
    <x v="90"/>
    <n v="2"/>
    <n v="355.18"/>
    <x v="8"/>
    <x v="1"/>
  </r>
  <r>
    <d v="2025-01-12T00:00:00"/>
    <x v="91"/>
    <x v="12"/>
    <x v="1"/>
    <x v="9"/>
    <x v="91"/>
    <n v="7"/>
    <n v="12878.96"/>
    <x v="9"/>
    <x v="0"/>
  </r>
  <r>
    <d v="2025-07-10T00:00:00"/>
    <x v="92"/>
    <x v="13"/>
    <x v="0"/>
    <x v="7"/>
    <x v="92"/>
    <n v="9"/>
    <n v="7173.31"/>
    <x v="4"/>
    <x v="0"/>
  </r>
  <r>
    <d v="2024-10-24T00:00:00"/>
    <x v="93"/>
    <x v="17"/>
    <x v="2"/>
    <x v="10"/>
    <x v="93"/>
    <n v="8"/>
    <n v="5027.7"/>
    <x v="3"/>
    <x v="1"/>
  </r>
  <r>
    <d v="2025-07-08T00:00:00"/>
    <x v="94"/>
    <x v="0"/>
    <x v="0"/>
    <x v="4"/>
    <x v="94"/>
    <n v="8"/>
    <n v="725.98"/>
    <x v="4"/>
    <x v="0"/>
  </r>
  <r>
    <d v="2025-05-25T00:00:00"/>
    <x v="95"/>
    <x v="16"/>
    <x v="1"/>
    <x v="1"/>
    <x v="95"/>
    <n v="8"/>
    <n v="4033.26"/>
    <x v="0"/>
    <x v="0"/>
  </r>
  <r>
    <d v="2025-05-09T00:00:00"/>
    <x v="96"/>
    <x v="6"/>
    <x v="2"/>
    <x v="3"/>
    <x v="96"/>
    <n v="9"/>
    <n v="12130.84"/>
    <x v="0"/>
    <x v="0"/>
  </r>
  <r>
    <d v="2025-04-21T00:00:00"/>
    <x v="97"/>
    <x v="1"/>
    <x v="1"/>
    <x v="2"/>
    <x v="97"/>
    <n v="4"/>
    <n v="14297.95"/>
    <x v="2"/>
    <x v="0"/>
  </r>
  <r>
    <d v="2025-04-08T00:00:00"/>
    <x v="98"/>
    <x v="1"/>
    <x v="1"/>
    <x v="11"/>
    <x v="98"/>
    <n v="2"/>
    <n v="3818.64"/>
    <x v="2"/>
    <x v="0"/>
  </r>
  <r>
    <d v="2024-09-25T00:00:00"/>
    <x v="99"/>
    <x v="11"/>
    <x v="1"/>
    <x v="9"/>
    <x v="99"/>
    <n v="8"/>
    <n v="691.57"/>
    <x v="10"/>
    <x v="1"/>
  </r>
  <r>
    <d v="2025-03-12T00:00:00"/>
    <x v="100"/>
    <x v="15"/>
    <x v="2"/>
    <x v="3"/>
    <x v="100"/>
    <n v="6"/>
    <n v="13991.12"/>
    <x v="11"/>
    <x v="0"/>
  </r>
  <r>
    <d v="2024-09-29T00:00:00"/>
    <x v="101"/>
    <x v="17"/>
    <x v="2"/>
    <x v="6"/>
    <x v="101"/>
    <n v="7"/>
    <n v="650.89"/>
    <x v="10"/>
    <x v="1"/>
  </r>
  <r>
    <d v="2024-10-28T00:00:00"/>
    <x v="102"/>
    <x v="10"/>
    <x v="0"/>
    <x v="5"/>
    <x v="102"/>
    <n v="10"/>
    <n v="15402.77"/>
    <x v="3"/>
    <x v="1"/>
  </r>
  <r>
    <d v="2025-02-07T00:00:00"/>
    <x v="103"/>
    <x v="11"/>
    <x v="1"/>
    <x v="1"/>
    <x v="103"/>
    <n v="5"/>
    <n v="4858.97"/>
    <x v="1"/>
    <x v="0"/>
  </r>
  <r>
    <d v="2025-07-19T00:00:00"/>
    <x v="104"/>
    <x v="14"/>
    <x v="2"/>
    <x v="8"/>
    <x v="104"/>
    <n v="1"/>
    <n v="9203.98"/>
    <x v="4"/>
    <x v="0"/>
  </r>
  <r>
    <d v="2024-07-25T00:00:00"/>
    <x v="105"/>
    <x v="1"/>
    <x v="0"/>
    <x v="5"/>
    <x v="105"/>
    <n v="1"/>
    <n v="3304.59"/>
    <x v="4"/>
    <x v="1"/>
  </r>
  <r>
    <d v="2025-03-30T00:00:00"/>
    <x v="106"/>
    <x v="13"/>
    <x v="0"/>
    <x v="7"/>
    <x v="106"/>
    <n v="9"/>
    <n v="13843.13"/>
    <x v="11"/>
    <x v="0"/>
  </r>
  <r>
    <d v="2024-12-01T00:00:00"/>
    <x v="107"/>
    <x v="2"/>
    <x v="0"/>
    <x v="4"/>
    <x v="107"/>
    <n v="5"/>
    <n v="17247.52"/>
    <x v="5"/>
    <x v="1"/>
  </r>
  <r>
    <d v="2024-09-07T00:00:00"/>
    <x v="108"/>
    <x v="1"/>
    <x v="1"/>
    <x v="9"/>
    <x v="108"/>
    <n v="3"/>
    <n v="15566.43"/>
    <x v="10"/>
    <x v="1"/>
  </r>
  <r>
    <d v="2024-10-21T00:00:00"/>
    <x v="109"/>
    <x v="4"/>
    <x v="2"/>
    <x v="6"/>
    <x v="109"/>
    <n v="4"/>
    <n v="2114.5100000000002"/>
    <x v="3"/>
    <x v="1"/>
  </r>
  <r>
    <d v="2025-06-24T00:00:00"/>
    <x v="110"/>
    <x v="10"/>
    <x v="2"/>
    <x v="10"/>
    <x v="110"/>
    <n v="2"/>
    <n v="8096.25"/>
    <x v="7"/>
    <x v="0"/>
  </r>
  <r>
    <d v="2025-04-04T00:00:00"/>
    <x v="111"/>
    <x v="1"/>
    <x v="0"/>
    <x v="5"/>
    <x v="111"/>
    <n v="6"/>
    <n v="15793.28"/>
    <x v="2"/>
    <x v="0"/>
  </r>
  <r>
    <d v="2025-06-05T00:00:00"/>
    <x v="112"/>
    <x v="16"/>
    <x v="2"/>
    <x v="3"/>
    <x v="112"/>
    <n v="1"/>
    <n v="19783.62"/>
    <x v="7"/>
    <x v="0"/>
  </r>
  <r>
    <d v="2024-10-20T00:00:00"/>
    <x v="113"/>
    <x v="1"/>
    <x v="0"/>
    <x v="4"/>
    <x v="113"/>
    <n v="4"/>
    <n v="5906.51"/>
    <x v="3"/>
    <x v="1"/>
  </r>
  <r>
    <d v="2024-11-15T00:00:00"/>
    <x v="114"/>
    <x v="16"/>
    <x v="1"/>
    <x v="11"/>
    <x v="114"/>
    <n v="6"/>
    <n v="8303.57"/>
    <x v="8"/>
    <x v="1"/>
  </r>
  <r>
    <d v="2024-12-05T00:00:00"/>
    <x v="115"/>
    <x v="3"/>
    <x v="2"/>
    <x v="3"/>
    <x v="115"/>
    <n v="2"/>
    <n v="7385.95"/>
    <x v="5"/>
    <x v="1"/>
  </r>
  <r>
    <d v="2025-05-21T00:00:00"/>
    <x v="116"/>
    <x v="5"/>
    <x v="0"/>
    <x v="4"/>
    <x v="116"/>
    <n v="3"/>
    <n v="16495.310000000001"/>
    <x v="0"/>
    <x v="0"/>
  </r>
  <r>
    <d v="2025-07-17T00:00:00"/>
    <x v="117"/>
    <x v="15"/>
    <x v="0"/>
    <x v="5"/>
    <x v="117"/>
    <n v="8"/>
    <n v="2963.26"/>
    <x v="4"/>
    <x v="0"/>
  </r>
  <r>
    <d v="2025-01-31T00:00:00"/>
    <x v="118"/>
    <x v="8"/>
    <x v="2"/>
    <x v="10"/>
    <x v="118"/>
    <n v="7"/>
    <n v="11451.27"/>
    <x v="9"/>
    <x v="0"/>
  </r>
  <r>
    <d v="2025-01-12T00:00:00"/>
    <x v="119"/>
    <x v="15"/>
    <x v="1"/>
    <x v="11"/>
    <x v="119"/>
    <n v="4"/>
    <n v="11931.24"/>
    <x v="9"/>
    <x v="0"/>
  </r>
  <r>
    <d v="2024-09-27T00:00:00"/>
    <x v="120"/>
    <x v="11"/>
    <x v="0"/>
    <x v="7"/>
    <x v="120"/>
    <n v="4"/>
    <n v="8201.82"/>
    <x v="10"/>
    <x v="1"/>
  </r>
  <r>
    <d v="2025-02-23T00:00:00"/>
    <x v="121"/>
    <x v="14"/>
    <x v="0"/>
    <x v="4"/>
    <x v="121"/>
    <n v="7"/>
    <n v="10128.44"/>
    <x v="1"/>
    <x v="0"/>
  </r>
  <r>
    <d v="2024-09-20T00:00:00"/>
    <x v="122"/>
    <x v="9"/>
    <x v="0"/>
    <x v="4"/>
    <x v="122"/>
    <n v="1"/>
    <n v="12381.86"/>
    <x v="10"/>
    <x v="1"/>
  </r>
  <r>
    <d v="2025-06-01T00:00:00"/>
    <x v="123"/>
    <x v="13"/>
    <x v="1"/>
    <x v="9"/>
    <x v="123"/>
    <n v="8"/>
    <n v="15435.35"/>
    <x v="7"/>
    <x v="0"/>
  </r>
  <r>
    <d v="2024-12-10T00:00:00"/>
    <x v="124"/>
    <x v="7"/>
    <x v="0"/>
    <x v="4"/>
    <x v="124"/>
    <n v="6"/>
    <n v="5071.2"/>
    <x v="5"/>
    <x v="1"/>
  </r>
  <r>
    <d v="2025-05-16T00:00:00"/>
    <x v="125"/>
    <x v="10"/>
    <x v="2"/>
    <x v="8"/>
    <x v="125"/>
    <n v="9"/>
    <n v="16849.939999999999"/>
    <x v="0"/>
    <x v="0"/>
  </r>
  <r>
    <d v="2024-12-24T00:00:00"/>
    <x v="126"/>
    <x v="16"/>
    <x v="2"/>
    <x v="6"/>
    <x v="126"/>
    <n v="6"/>
    <n v="7789.5"/>
    <x v="5"/>
    <x v="1"/>
  </r>
  <r>
    <d v="2025-02-22T00:00:00"/>
    <x v="127"/>
    <x v="15"/>
    <x v="2"/>
    <x v="10"/>
    <x v="127"/>
    <n v="10"/>
    <n v="11872.48"/>
    <x v="1"/>
    <x v="0"/>
  </r>
  <r>
    <d v="2024-08-22T00:00:00"/>
    <x v="128"/>
    <x v="14"/>
    <x v="2"/>
    <x v="8"/>
    <x v="128"/>
    <n v="10"/>
    <n v="4170.7700000000004"/>
    <x v="6"/>
    <x v="1"/>
  </r>
  <r>
    <d v="2024-12-02T00:00:00"/>
    <x v="129"/>
    <x v="5"/>
    <x v="0"/>
    <x v="5"/>
    <x v="129"/>
    <n v="10"/>
    <n v="11411.19"/>
    <x v="5"/>
    <x v="1"/>
  </r>
  <r>
    <d v="2025-07-03T00:00:00"/>
    <x v="130"/>
    <x v="4"/>
    <x v="1"/>
    <x v="2"/>
    <x v="130"/>
    <n v="1"/>
    <n v="2127.12"/>
    <x v="4"/>
    <x v="0"/>
  </r>
  <r>
    <d v="2024-10-28T00:00:00"/>
    <x v="131"/>
    <x v="5"/>
    <x v="0"/>
    <x v="7"/>
    <x v="131"/>
    <n v="3"/>
    <n v="9164.76"/>
    <x v="3"/>
    <x v="1"/>
  </r>
  <r>
    <d v="2025-05-19T00:00:00"/>
    <x v="132"/>
    <x v="15"/>
    <x v="0"/>
    <x v="4"/>
    <x v="132"/>
    <n v="5"/>
    <n v="12354.95"/>
    <x v="0"/>
    <x v="0"/>
  </r>
  <r>
    <d v="2025-07-19T00:00:00"/>
    <x v="133"/>
    <x v="14"/>
    <x v="2"/>
    <x v="3"/>
    <x v="133"/>
    <n v="6"/>
    <n v="17704.28"/>
    <x v="4"/>
    <x v="0"/>
  </r>
  <r>
    <d v="2024-08-01T00:00:00"/>
    <x v="134"/>
    <x v="14"/>
    <x v="2"/>
    <x v="3"/>
    <x v="134"/>
    <n v="1"/>
    <n v="15142.37"/>
    <x v="6"/>
    <x v="1"/>
  </r>
  <r>
    <d v="2025-05-03T00:00:00"/>
    <x v="135"/>
    <x v="12"/>
    <x v="1"/>
    <x v="11"/>
    <x v="135"/>
    <n v="5"/>
    <n v="12523.39"/>
    <x v="0"/>
    <x v="0"/>
  </r>
  <r>
    <d v="2025-04-28T00:00:00"/>
    <x v="136"/>
    <x v="17"/>
    <x v="0"/>
    <x v="4"/>
    <x v="136"/>
    <n v="6"/>
    <n v="6129.64"/>
    <x v="2"/>
    <x v="0"/>
  </r>
  <r>
    <d v="2025-06-04T00:00:00"/>
    <x v="137"/>
    <x v="5"/>
    <x v="2"/>
    <x v="6"/>
    <x v="137"/>
    <n v="10"/>
    <n v="852.43"/>
    <x v="7"/>
    <x v="0"/>
  </r>
  <r>
    <d v="2024-08-20T00:00:00"/>
    <x v="138"/>
    <x v="4"/>
    <x v="2"/>
    <x v="10"/>
    <x v="138"/>
    <n v="7"/>
    <n v="8456.81"/>
    <x v="6"/>
    <x v="1"/>
  </r>
  <r>
    <d v="2024-09-27T00:00:00"/>
    <x v="139"/>
    <x v="12"/>
    <x v="1"/>
    <x v="9"/>
    <x v="139"/>
    <n v="3"/>
    <n v="427.4"/>
    <x v="10"/>
    <x v="1"/>
  </r>
  <r>
    <d v="2025-06-10T00:00:00"/>
    <x v="140"/>
    <x v="17"/>
    <x v="1"/>
    <x v="2"/>
    <x v="140"/>
    <n v="10"/>
    <n v="23278.33"/>
    <x v="7"/>
    <x v="0"/>
  </r>
  <r>
    <d v="2025-04-24T00:00:00"/>
    <x v="141"/>
    <x v="2"/>
    <x v="2"/>
    <x v="8"/>
    <x v="141"/>
    <n v="3"/>
    <n v="16547.259999999998"/>
    <x v="2"/>
    <x v="0"/>
  </r>
  <r>
    <d v="2024-08-05T00:00:00"/>
    <x v="142"/>
    <x v="8"/>
    <x v="0"/>
    <x v="7"/>
    <x v="142"/>
    <n v="8"/>
    <n v="7505.5"/>
    <x v="6"/>
    <x v="1"/>
  </r>
  <r>
    <d v="2024-10-24T00:00:00"/>
    <x v="143"/>
    <x v="17"/>
    <x v="2"/>
    <x v="10"/>
    <x v="143"/>
    <n v="7"/>
    <n v="11981.89"/>
    <x v="3"/>
    <x v="1"/>
  </r>
  <r>
    <d v="2025-06-26T00:00:00"/>
    <x v="144"/>
    <x v="14"/>
    <x v="0"/>
    <x v="0"/>
    <x v="144"/>
    <n v="7"/>
    <n v="11829.59"/>
    <x v="7"/>
    <x v="0"/>
  </r>
  <r>
    <d v="2025-02-14T00:00:00"/>
    <x v="145"/>
    <x v="6"/>
    <x v="2"/>
    <x v="3"/>
    <x v="145"/>
    <n v="8"/>
    <n v="16894.099999999999"/>
    <x v="1"/>
    <x v="0"/>
  </r>
  <r>
    <d v="2025-01-03T00:00:00"/>
    <x v="146"/>
    <x v="15"/>
    <x v="2"/>
    <x v="8"/>
    <x v="146"/>
    <n v="10"/>
    <n v="18888.86"/>
    <x v="9"/>
    <x v="0"/>
  </r>
  <r>
    <d v="2025-03-31T00:00:00"/>
    <x v="147"/>
    <x v="16"/>
    <x v="0"/>
    <x v="7"/>
    <x v="147"/>
    <n v="10"/>
    <n v="396.52"/>
    <x v="11"/>
    <x v="0"/>
  </r>
  <r>
    <d v="2024-09-09T00:00:00"/>
    <x v="148"/>
    <x v="3"/>
    <x v="1"/>
    <x v="9"/>
    <x v="148"/>
    <n v="9"/>
    <n v="11043.71"/>
    <x v="10"/>
    <x v="1"/>
  </r>
  <r>
    <d v="2024-12-22T00:00:00"/>
    <x v="149"/>
    <x v="7"/>
    <x v="1"/>
    <x v="1"/>
    <x v="149"/>
    <n v="3"/>
    <n v="405.37"/>
    <x v="5"/>
    <x v="1"/>
  </r>
  <r>
    <d v="2025-01-28T00:00:00"/>
    <x v="150"/>
    <x v="11"/>
    <x v="2"/>
    <x v="6"/>
    <x v="150"/>
    <n v="1"/>
    <n v="8121.97"/>
    <x v="9"/>
    <x v="0"/>
  </r>
  <r>
    <d v="2024-10-25T00:00:00"/>
    <x v="151"/>
    <x v="3"/>
    <x v="0"/>
    <x v="4"/>
    <x v="151"/>
    <n v="3"/>
    <n v="10590.4"/>
    <x v="3"/>
    <x v="1"/>
  </r>
  <r>
    <d v="2025-04-19T00:00:00"/>
    <x v="152"/>
    <x v="8"/>
    <x v="0"/>
    <x v="4"/>
    <x v="152"/>
    <n v="1"/>
    <n v="10167.879999999999"/>
    <x v="2"/>
    <x v="0"/>
  </r>
  <r>
    <d v="2025-06-26T00:00:00"/>
    <x v="153"/>
    <x v="6"/>
    <x v="1"/>
    <x v="9"/>
    <x v="153"/>
    <n v="6"/>
    <n v="2529.21"/>
    <x v="7"/>
    <x v="0"/>
  </r>
  <r>
    <d v="2025-02-10T00:00:00"/>
    <x v="31"/>
    <x v="7"/>
    <x v="2"/>
    <x v="3"/>
    <x v="154"/>
    <n v="5"/>
    <n v="12625.36"/>
    <x v="1"/>
    <x v="0"/>
  </r>
  <r>
    <d v="2024-09-04T00:00:00"/>
    <x v="154"/>
    <x v="7"/>
    <x v="2"/>
    <x v="3"/>
    <x v="155"/>
    <n v="5"/>
    <n v="13860.87"/>
    <x v="10"/>
    <x v="1"/>
  </r>
  <r>
    <d v="2024-08-19T00:00:00"/>
    <x v="155"/>
    <x v="13"/>
    <x v="2"/>
    <x v="6"/>
    <x v="156"/>
    <n v="5"/>
    <n v="11859.54"/>
    <x v="6"/>
    <x v="1"/>
  </r>
  <r>
    <d v="2025-03-17T00:00:00"/>
    <x v="156"/>
    <x v="4"/>
    <x v="0"/>
    <x v="0"/>
    <x v="157"/>
    <n v="4"/>
    <n v="3127.03"/>
    <x v="11"/>
    <x v="0"/>
  </r>
  <r>
    <d v="2025-05-11T00:00:00"/>
    <x v="157"/>
    <x v="3"/>
    <x v="0"/>
    <x v="7"/>
    <x v="158"/>
    <n v="3"/>
    <n v="4111.91"/>
    <x v="0"/>
    <x v="0"/>
  </r>
  <r>
    <d v="2024-12-29T00:00:00"/>
    <x v="158"/>
    <x v="13"/>
    <x v="1"/>
    <x v="9"/>
    <x v="159"/>
    <n v="9"/>
    <n v="5419.82"/>
    <x v="5"/>
    <x v="1"/>
  </r>
  <r>
    <d v="2025-07-16T00:00:00"/>
    <x v="159"/>
    <x v="17"/>
    <x v="0"/>
    <x v="0"/>
    <x v="160"/>
    <n v="9"/>
    <n v="5477.24"/>
    <x v="4"/>
    <x v="0"/>
  </r>
  <r>
    <d v="2024-11-10T00:00:00"/>
    <x v="160"/>
    <x v="6"/>
    <x v="1"/>
    <x v="2"/>
    <x v="161"/>
    <n v="2"/>
    <n v="3300.97"/>
    <x v="8"/>
    <x v="1"/>
  </r>
  <r>
    <d v="2024-12-09T00:00:00"/>
    <x v="161"/>
    <x v="4"/>
    <x v="0"/>
    <x v="7"/>
    <x v="162"/>
    <n v="5"/>
    <n v="6920.53"/>
    <x v="5"/>
    <x v="1"/>
  </r>
  <r>
    <d v="2025-01-28T00:00:00"/>
    <x v="162"/>
    <x v="16"/>
    <x v="2"/>
    <x v="6"/>
    <x v="163"/>
    <n v="4"/>
    <n v="3679.67"/>
    <x v="9"/>
    <x v="0"/>
  </r>
  <r>
    <d v="2025-03-21T00:00:00"/>
    <x v="163"/>
    <x v="9"/>
    <x v="2"/>
    <x v="3"/>
    <x v="164"/>
    <n v="10"/>
    <n v="12260"/>
    <x v="11"/>
    <x v="0"/>
  </r>
  <r>
    <d v="2025-03-14T00:00:00"/>
    <x v="164"/>
    <x v="7"/>
    <x v="0"/>
    <x v="4"/>
    <x v="165"/>
    <n v="5"/>
    <n v="8287.9"/>
    <x v="11"/>
    <x v="0"/>
  </r>
  <r>
    <d v="2024-07-23T00:00:00"/>
    <x v="165"/>
    <x v="15"/>
    <x v="0"/>
    <x v="5"/>
    <x v="166"/>
    <n v="8"/>
    <n v="19393.77"/>
    <x v="4"/>
    <x v="1"/>
  </r>
  <r>
    <d v="2025-05-18T00:00:00"/>
    <x v="166"/>
    <x v="17"/>
    <x v="1"/>
    <x v="9"/>
    <x v="167"/>
    <n v="8"/>
    <n v="4850.57"/>
    <x v="0"/>
    <x v="0"/>
  </r>
  <r>
    <d v="2025-05-02T00:00:00"/>
    <x v="167"/>
    <x v="6"/>
    <x v="1"/>
    <x v="2"/>
    <x v="168"/>
    <n v="3"/>
    <n v="6102.15"/>
    <x v="0"/>
    <x v="0"/>
  </r>
  <r>
    <d v="2024-09-11T00:00:00"/>
    <x v="168"/>
    <x v="17"/>
    <x v="1"/>
    <x v="2"/>
    <x v="169"/>
    <n v="1"/>
    <n v="8124.47"/>
    <x v="10"/>
    <x v="1"/>
  </r>
  <r>
    <d v="2025-07-18T00:00:00"/>
    <x v="169"/>
    <x v="11"/>
    <x v="0"/>
    <x v="4"/>
    <x v="170"/>
    <n v="1"/>
    <n v="13694.53"/>
    <x v="4"/>
    <x v="0"/>
  </r>
  <r>
    <d v="2025-05-17T00:00:00"/>
    <x v="170"/>
    <x v="5"/>
    <x v="0"/>
    <x v="4"/>
    <x v="171"/>
    <n v="9"/>
    <n v="10097.16"/>
    <x v="0"/>
    <x v="0"/>
  </r>
  <r>
    <d v="2025-04-30T00:00:00"/>
    <x v="171"/>
    <x v="0"/>
    <x v="2"/>
    <x v="8"/>
    <x v="172"/>
    <n v="9"/>
    <n v="20224.22"/>
    <x v="2"/>
    <x v="0"/>
  </r>
  <r>
    <d v="2024-10-27T00:00:00"/>
    <x v="172"/>
    <x v="3"/>
    <x v="1"/>
    <x v="9"/>
    <x v="173"/>
    <n v="7"/>
    <n v="2459.41"/>
    <x v="3"/>
    <x v="1"/>
  </r>
  <r>
    <d v="2025-05-22T00:00:00"/>
    <x v="173"/>
    <x v="7"/>
    <x v="2"/>
    <x v="6"/>
    <x v="174"/>
    <n v="9"/>
    <n v="19261.830000000002"/>
    <x v="0"/>
    <x v="0"/>
  </r>
  <r>
    <d v="2024-09-04T00:00:00"/>
    <x v="174"/>
    <x v="1"/>
    <x v="0"/>
    <x v="7"/>
    <x v="175"/>
    <n v="8"/>
    <n v="2045.89"/>
    <x v="10"/>
    <x v="1"/>
  </r>
  <r>
    <d v="2024-08-11T00:00:00"/>
    <x v="175"/>
    <x v="0"/>
    <x v="1"/>
    <x v="2"/>
    <x v="176"/>
    <n v="5"/>
    <n v="7129.18"/>
    <x v="6"/>
    <x v="1"/>
  </r>
  <r>
    <d v="2024-12-16T00:00:00"/>
    <x v="176"/>
    <x v="5"/>
    <x v="1"/>
    <x v="9"/>
    <x v="177"/>
    <n v="3"/>
    <n v="2233.3000000000002"/>
    <x v="5"/>
    <x v="1"/>
  </r>
  <r>
    <d v="2025-03-24T00:00:00"/>
    <x v="177"/>
    <x v="11"/>
    <x v="1"/>
    <x v="1"/>
    <x v="178"/>
    <n v="8"/>
    <n v="1565.34"/>
    <x v="11"/>
    <x v="0"/>
  </r>
  <r>
    <d v="2024-09-17T00:00:00"/>
    <x v="178"/>
    <x v="10"/>
    <x v="1"/>
    <x v="1"/>
    <x v="179"/>
    <n v="1"/>
    <n v="8650.67"/>
    <x v="10"/>
    <x v="1"/>
  </r>
  <r>
    <d v="2025-01-22T00:00:00"/>
    <x v="179"/>
    <x v="5"/>
    <x v="1"/>
    <x v="2"/>
    <x v="180"/>
    <n v="3"/>
    <n v="9298.68"/>
    <x v="9"/>
    <x v="0"/>
  </r>
  <r>
    <d v="2025-04-10T00:00:00"/>
    <x v="180"/>
    <x v="2"/>
    <x v="1"/>
    <x v="11"/>
    <x v="181"/>
    <n v="4"/>
    <n v="10882.82"/>
    <x v="2"/>
    <x v="0"/>
  </r>
  <r>
    <d v="2024-10-12T00:00:00"/>
    <x v="181"/>
    <x v="3"/>
    <x v="1"/>
    <x v="11"/>
    <x v="182"/>
    <n v="8"/>
    <n v="8114.62"/>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E862B-C7F2-4E73-BDD1-F1712D2FBD9D}" name="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4:G29" firstHeaderRow="1" firstDataRow="2" firstDataCol="1"/>
  <pivotFields count="10">
    <pivotField numFmtId="14" showAll="0"/>
    <pivotField showAll="0"/>
    <pivotField showAll="0"/>
    <pivotField axis="axisCol" showAll="0">
      <items count="4">
        <item x="1"/>
        <item x="0"/>
        <item x="2"/>
        <item t="default"/>
      </items>
    </pivotField>
    <pivotField showAll="0"/>
    <pivotField showAll="0"/>
    <pivotField showAll="0"/>
    <pivotField dataField="1" showAll="0"/>
    <pivotField showAll="0">
      <items count="13">
        <item x="9"/>
        <item x="1"/>
        <item x="11"/>
        <item x="2"/>
        <item x="0"/>
        <item x="7"/>
        <item x="4"/>
        <item x="6"/>
        <item x="10"/>
        <item x="3"/>
        <item x="8"/>
        <item x="5"/>
        <item t="default"/>
      </items>
    </pivotField>
    <pivotField axis="axisRow" showAll="0">
      <items count="4">
        <item x="2"/>
        <item x="1"/>
        <item x="0"/>
        <item t="default"/>
      </items>
    </pivotField>
  </pivotFields>
  <rowFields count="1">
    <field x="9"/>
  </rowFields>
  <rowItems count="4">
    <i>
      <x/>
    </i>
    <i>
      <x v="1"/>
    </i>
    <i>
      <x v="2"/>
    </i>
    <i t="grand">
      <x/>
    </i>
  </rowItems>
  <colFields count="1">
    <field x="3"/>
  </colFields>
  <colItems count="4">
    <i>
      <x/>
    </i>
    <i>
      <x v="1"/>
    </i>
    <i>
      <x v="2"/>
    </i>
    <i t="grand">
      <x/>
    </i>
  </colItems>
  <dataFields count="1">
    <dataField name="Sum of Profit " fld="7" baseField="0" baseItem="0" numFmtId="164"/>
  </dataFields>
  <formats count="2">
    <format dxfId="144">
      <pivotArea outline="0" collapsedLevelsAreSubtotals="1" fieldPosition="0"/>
    </format>
    <format dxfId="143">
      <pivotArea dataOnly="0" labelOnly="1" outline="0" axis="axisValues" fieldPosition="0"/>
    </format>
  </formats>
  <chartFormats count="10">
    <chartFormat chart="2" format="3" series="1">
      <pivotArea type="data" outline="0" fieldPosition="0">
        <references count="2">
          <reference field="4294967294" count="1" selected="0">
            <x v="0"/>
          </reference>
          <reference field="3" count="1" selected="0">
            <x v="0"/>
          </reference>
        </references>
      </pivotArea>
    </chartFormat>
    <chartFormat chart="2" format="4" series="1">
      <pivotArea type="data" outline="0" fieldPosition="0">
        <references count="2">
          <reference field="4294967294" count="1" selected="0">
            <x v="0"/>
          </reference>
          <reference field="3" count="1" selected="0">
            <x v="1"/>
          </reference>
        </references>
      </pivotArea>
    </chartFormat>
    <chartFormat chart="2" format="5"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9" count="1" selected="0">
            <x v="2"/>
          </reference>
        </references>
      </pivotArea>
    </chartFormat>
    <chartFormat chart="3" format="10">
      <pivotArea type="data" outline="0" fieldPosition="0">
        <references count="3">
          <reference field="4294967294" count="1" selected="0">
            <x v="0"/>
          </reference>
          <reference field="3" count="1" selected="0">
            <x v="2"/>
          </reference>
          <reference field="9" count="1" selected="0">
            <x v="1"/>
          </reference>
        </references>
      </pivotArea>
    </chartFormat>
    <chartFormat chart="3" format="11">
      <pivotArea type="data" outline="0" fieldPosition="0">
        <references count="3">
          <reference field="4294967294" count="1" selected="0">
            <x v="0"/>
          </reference>
          <reference field="3" count="1" selected="0">
            <x v="2"/>
          </reference>
          <reference field="9" count="1" selected="0">
            <x v="0"/>
          </reference>
        </references>
      </pivotArea>
    </chartFormat>
    <chartFormat chart="3" format="12">
      <pivotArea type="data" outline="0" fieldPosition="0">
        <references count="3">
          <reference field="4294967294" count="1" selected="0">
            <x v="0"/>
          </reference>
          <reference field="3"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C717FC-29C5-4D17-9940-A9336280A8EE}" name="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0">
    <pivotField numFmtId="14" showAll="0"/>
    <pivotField showAll="0"/>
    <pivotField showAll="0"/>
    <pivotField showAll="0">
      <items count="4">
        <item x="1"/>
        <item x="0"/>
        <item x="2"/>
        <item t="default"/>
      </items>
    </pivotField>
    <pivotField showAll="0"/>
    <pivotField showAll="0"/>
    <pivotField showAll="0"/>
    <pivotField dataField="1" showAll="0"/>
    <pivotField showAll="0">
      <items count="13">
        <item x="9"/>
        <item x="1"/>
        <item x="11"/>
        <item x="2"/>
        <item x="0"/>
        <item x="7"/>
        <item x="4"/>
        <item x="6"/>
        <item x="10"/>
        <item x="3"/>
        <item x="8"/>
        <item x="5"/>
        <item t="default"/>
      </items>
    </pivotField>
    <pivotField showAll="0"/>
  </pivotFields>
  <rowItems count="1">
    <i/>
  </rowItems>
  <colItems count="1">
    <i/>
  </colItems>
  <dataFields count="1">
    <dataField name="Sum of Profit " fld="7" baseField="0" baseItem="0" numFmtId="164"/>
  </dataFields>
  <formats count="3">
    <format dxfId="147">
      <pivotArea type="all" dataOnly="0" outline="0" fieldPosition="0"/>
    </format>
    <format dxfId="146">
      <pivotArea outline="0" collapsedLevelsAreSubtotals="1" fieldPosition="0"/>
    </format>
    <format dxfId="1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A2D06C-2F04-40BB-BA4A-3A6D0E35CA4C}" name="st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22" firstHeaderRow="1" firstDataRow="1" firstDataCol="1"/>
  <pivotFields count="10">
    <pivotField numFmtId="14" showAll="0"/>
    <pivotField showAll="0"/>
    <pivotField axis="axisRow" showAll="0">
      <items count="19">
        <item x="1"/>
        <item x="15"/>
        <item x="17"/>
        <item x="5"/>
        <item x="9"/>
        <item x="14"/>
        <item x="16"/>
        <item x="12"/>
        <item x="7"/>
        <item x="10"/>
        <item x="13"/>
        <item x="0"/>
        <item x="6"/>
        <item x="3"/>
        <item x="4"/>
        <item x="11"/>
        <item x="2"/>
        <item x="8"/>
        <item t="default"/>
      </items>
    </pivotField>
    <pivotField showAll="0">
      <items count="4">
        <item x="1"/>
        <item x="0"/>
        <item x="2"/>
        <item t="default"/>
      </items>
    </pivotField>
    <pivotField showAll="0">
      <items count="13">
        <item x="6"/>
        <item x="5"/>
        <item x="2"/>
        <item x="9"/>
        <item x="4"/>
        <item x="1"/>
        <item x="0"/>
        <item x="10"/>
        <item x="3"/>
        <item x="7"/>
        <item x="8"/>
        <item x="11"/>
        <item t="default"/>
      </items>
    </pivotField>
    <pivotField dataField="1" showAll="0">
      <items count="184">
        <item x="90"/>
        <item x="149"/>
        <item x="62"/>
        <item x="35"/>
        <item x="60"/>
        <item x="4"/>
        <item x="101"/>
        <item x="139"/>
        <item x="19"/>
        <item x="94"/>
        <item x="147"/>
        <item x="36"/>
        <item x="70"/>
        <item x="11"/>
        <item x="175"/>
        <item x="177"/>
        <item x="34"/>
        <item x="178"/>
        <item x="12"/>
        <item x="83"/>
        <item x="137"/>
        <item x="109"/>
        <item x="58"/>
        <item x="22"/>
        <item x="86"/>
        <item x="46"/>
        <item x="1"/>
        <item x="99"/>
        <item x="88"/>
        <item x="29"/>
        <item x="44"/>
        <item x="157"/>
        <item x="173"/>
        <item x="161"/>
        <item x="105"/>
        <item x="65"/>
        <item x="81"/>
        <item x="93"/>
        <item x="160"/>
        <item x="50"/>
        <item x="130"/>
        <item x="142"/>
        <item x="30"/>
        <item x="2"/>
        <item x="128"/>
        <item x="87"/>
        <item x="117"/>
        <item x="69"/>
        <item x="165"/>
        <item x="103"/>
        <item x="9"/>
        <item x="153"/>
        <item x="84"/>
        <item x="168"/>
        <item x="138"/>
        <item x="151"/>
        <item x="73"/>
        <item x="115"/>
        <item x="113"/>
        <item x="67"/>
        <item x="156"/>
        <item x="78"/>
        <item x="129"/>
        <item x="64"/>
        <item x="122"/>
        <item x="114"/>
        <item x="171"/>
        <item x="53"/>
        <item x="47"/>
        <item x="41"/>
        <item x="82"/>
        <item x="119"/>
        <item x="16"/>
        <item x="74"/>
        <item x="163"/>
        <item x="104"/>
        <item x="110"/>
        <item x="3"/>
        <item x="85"/>
        <item x="8"/>
        <item x="121"/>
        <item x="106"/>
        <item x="181"/>
        <item x="15"/>
        <item x="26"/>
        <item x="59"/>
        <item x="159"/>
        <item x="135"/>
        <item x="143"/>
        <item x="167"/>
        <item x="100"/>
        <item x="164"/>
        <item x="21"/>
        <item x="51"/>
        <item x="116"/>
        <item x="5"/>
        <item x="57"/>
        <item x="31"/>
        <item x="18"/>
        <item x="77"/>
        <item x="107"/>
        <item x="144"/>
        <item x="155"/>
        <item x="141"/>
        <item x="120"/>
        <item x="176"/>
        <item x="162"/>
        <item x="145"/>
        <item x="158"/>
        <item x="23"/>
        <item x="28"/>
        <item x="27"/>
        <item x="136"/>
        <item x="89"/>
        <item x="95"/>
        <item x="148"/>
        <item x="14"/>
        <item x="111"/>
        <item x="0"/>
        <item x="152"/>
        <item x="48"/>
        <item x="98"/>
        <item x="25"/>
        <item x="124"/>
        <item x="7"/>
        <item x="131"/>
        <item x="52"/>
        <item x="146"/>
        <item x="125"/>
        <item x="54"/>
        <item x="55"/>
        <item x="75"/>
        <item x="118"/>
        <item x="154"/>
        <item x="33"/>
        <item x="123"/>
        <item x="97"/>
        <item x="37"/>
        <item x="10"/>
        <item x="13"/>
        <item x="126"/>
        <item x="102"/>
        <item x="150"/>
        <item x="79"/>
        <item x="39"/>
        <item x="76"/>
        <item x="71"/>
        <item x="20"/>
        <item x="174"/>
        <item x="17"/>
        <item x="49"/>
        <item x="61"/>
        <item x="133"/>
        <item x="45"/>
        <item x="132"/>
        <item x="140"/>
        <item x="180"/>
        <item x="170"/>
        <item x="169"/>
        <item x="32"/>
        <item x="179"/>
        <item x="72"/>
        <item x="68"/>
        <item x="91"/>
        <item x="92"/>
        <item x="56"/>
        <item x="66"/>
        <item x="134"/>
        <item x="172"/>
        <item x="42"/>
        <item x="63"/>
        <item x="43"/>
        <item x="112"/>
        <item x="80"/>
        <item x="96"/>
        <item x="127"/>
        <item x="6"/>
        <item x="40"/>
        <item x="24"/>
        <item x="182"/>
        <item x="108"/>
        <item x="38"/>
        <item x="166"/>
        <item t="default"/>
      </items>
    </pivotField>
    <pivotField showAll="0"/>
    <pivotField showAll="0"/>
    <pivotField showAll="0">
      <items count="13">
        <item x="9"/>
        <item x="1"/>
        <item x="11"/>
        <item x="2"/>
        <item x="0"/>
        <item x="7"/>
        <item x="4"/>
        <item x="6"/>
        <item x="10"/>
        <item x="3"/>
        <item x="8"/>
        <item x="5"/>
        <item t="default"/>
      </items>
    </pivotField>
    <pivotField showAll="0">
      <items count="4">
        <item x="2"/>
        <item x="1"/>
        <item x="0"/>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sales" fld="5" baseField="0" baseItem="0" numFmtId="164"/>
  </dataFields>
  <formats count="1">
    <format dxfId="1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B2BA7C-0185-4D28-B3C8-840E045DF999}" name="to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3:Q9" firstHeaderRow="1" firstDataRow="1" firstDataCol="1"/>
  <pivotFields count="10">
    <pivotField numFmtId="14" showAll="0"/>
    <pivotField axis="axisRow" showAll="0" measureFilter="1" sortType="ascending">
      <items count="183">
        <item x="139"/>
        <item x="114"/>
        <item x="15"/>
        <item x="133"/>
        <item x="102"/>
        <item x="1"/>
        <item x="168"/>
        <item x="35"/>
        <item x="128"/>
        <item x="91"/>
        <item x="3"/>
        <item x="94"/>
        <item x="138"/>
        <item x="112"/>
        <item x="127"/>
        <item x="67"/>
        <item x="12"/>
        <item x="146"/>
        <item x="75"/>
        <item x="22"/>
        <item x="164"/>
        <item x="76"/>
        <item x="149"/>
        <item x="99"/>
        <item x="85"/>
        <item x="167"/>
        <item x="72"/>
        <item x="10"/>
        <item x="159"/>
        <item x="80"/>
        <item x="103"/>
        <item x="170"/>
        <item x="107"/>
        <item x="89"/>
        <item x="153"/>
        <item x="53"/>
        <item x="62"/>
        <item x="59"/>
        <item x="117"/>
        <item x="181"/>
        <item x="31"/>
        <item x="121"/>
        <item x="98"/>
        <item x="130"/>
        <item x="104"/>
        <item x="25"/>
        <item x="13"/>
        <item x="82"/>
        <item x="172"/>
        <item x="93"/>
        <item x="101"/>
        <item x="36"/>
        <item x="90"/>
        <item x="64"/>
        <item x="142"/>
        <item x="77"/>
        <item x="63"/>
        <item x="171"/>
        <item x="163"/>
        <item x="152"/>
        <item x="47"/>
        <item x="48"/>
        <item x="155"/>
        <item x="160"/>
        <item x="37"/>
        <item x="96"/>
        <item x="92"/>
        <item x="125"/>
        <item x="0"/>
        <item x="119"/>
        <item x="40"/>
        <item x="18"/>
        <item x="140"/>
        <item x="39"/>
        <item x="178"/>
        <item x="56"/>
        <item x="2"/>
        <item x="65"/>
        <item x="123"/>
        <item x="73"/>
        <item x="44"/>
        <item x="141"/>
        <item x="105"/>
        <item x="51"/>
        <item x="66"/>
        <item x="50"/>
        <item x="33"/>
        <item x="78"/>
        <item x="108"/>
        <item x="70"/>
        <item x="118"/>
        <item x="131"/>
        <item x="173"/>
        <item x="122"/>
        <item x="16"/>
        <item x="124"/>
        <item x="29"/>
        <item x="148"/>
        <item x="158"/>
        <item x="106"/>
        <item x="69"/>
        <item x="132"/>
        <item x="86"/>
        <item x="157"/>
        <item x="4"/>
        <item x="150"/>
        <item x="151"/>
        <item x="126"/>
        <item x="68"/>
        <item x="100"/>
        <item x="28"/>
        <item x="144"/>
        <item x="145"/>
        <item x="14"/>
        <item x="71"/>
        <item x="45"/>
        <item x="38"/>
        <item x="135"/>
        <item x="116"/>
        <item x="87"/>
        <item x="129"/>
        <item x="5"/>
        <item x="60"/>
        <item x="8"/>
        <item x="9"/>
        <item x="111"/>
        <item x="17"/>
        <item x="24"/>
        <item x="136"/>
        <item x="120"/>
        <item x="43"/>
        <item x="49"/>
        <item x="143"/>
        <item x="156"/>
        <item x="179"/>
        <item x="83"/>
        <item x="6"/>
        <item x="32"/>
        <item x="147"/>
        <item x="97"/>
        <item x="165"/>
        <item x="161"/>
        <item x="113"/>
        <item x="134"/>
        <item x="109"/>
        <item x="27"/>
        <item x="95"/>
        <item x="7"/>
        <item x="30"/>
        <item x="41"/>
        <item x="57"/>
        <item x="23"/>
        <item x="52"/>
        <item x="176"/>
        <item x="11"/>
        <item x="180"/>
        <item x="20"/>
        <item x="115"/>
        <item x="177"/>
        <item x="42"/>
        <item x="169"/>
        <item x="79"/>
        <item x="174"/>
        <item x="137"/>
        <item x="21"/>
        <item x="54"/>
        <item x="34"/>
        <item x="81"/>
        <item x="88"/>
        <item x="55"/>
        <item x="154"/>
        <item x="110"/>
        <item x="74"/>
        <item x="46"/>
        <item x="61"/>
        <item x="26"/>
        <item x="58"/>
        <item x="19"/>
        <item x="162"/>
        <item x="175"/>
        <item x="84"/>
        <item x="166"/>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13">
        <item x="6"/>
        <item x="5"/>
        <item x="2"/>
        <item x="9"/>
        <item x="4"/>
        <item x="1"/>
        <item x="0"/>
        <item x="10"/>
        <item x="3"/>
        <item x="7"/>
        <item x="8"/>
        <item x="11"/>
        <item t="default"/>
      </items>
    </pivotField>
    <pivotField showAll="0"/>
    <pivotField showAll="0"/>
    <pivotField dataField="1" showAll="0"/>
    <pivotField showAll="0">
      <items count="13">
        <item x="9"/>
        <item x="1"/>
        <item x="11"/>
        <item x="2"/>
        <item x="0"/>
        <item x="7"/>
        <item x="4"/>
        <item x="6"/>
        <item x="10"/>
        <item x="3"/>
        <item x="8"/>
        <item x="5"/>
        <item t="default"/>
      </items>
    </pivotField>
    <pivotField showAll="0">
      <items count="4">
        <item x="2"/>
        <item x="1"/>
        <item x="0"/>
        <item t="default"/>
      </items>
    </pivotField>
  </pivotFields>
  <rowFields count="1">
    <field x="1"/>
  </rowFields>
  <rowItems count="6">
    <i>
      <x v="26"/>
    </i>
    <i>
      <x v="86"/>
    </i>
    <i>
      <x v="72"/>
    </i>
    <i>
      <x v="127"/>
    </i>
    <i>
      <x v="40"/>
    </i>
    <i t="grand">
      <x/>
    </i>
  </rowItems>
  <colItems count="1">
    <i/>
  </colItems>
  <dataFields count="1">
    <dataField name="Sum of Profit " fld="7" baseField="0" baseItem="0"/>
  </dataFields>
  <formats count="2">
    <format dxfId="150">
      <pivotArea collapsedLevelsAreSubtotals="1" fieldPosition="0">
        <references count="1">
          <reference field="1" count="5">
            <x v="26"/>
            <x v="40"/>
            <x v="72"/>
            <x v="86"/>
            <x v="127"/>
          </reference>
        </references>
      </pivotArea>
    </format>
    <format dxfId="149">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40"/>
          </reference>
        </references>
      </pivotArea>
    </chartFormat>
    <chartFormat chart="5" format="4">
      <pivotArea type="data" outline="0" fieldPosition="0">
        <references count="2">
          <reference field="4294967294" count="1" selected="0">
            <x v="0"/>
          </reference>
          <reference field="1" count="1" selected="0">
            <x v="127"/>
          </reference>
        </references>
      </pivotArea>
    </chartFormat>
    <chartFormat chart="5" format="5">
      <pivotArea type="data" outline="0" fieldPosition="0">
        <references count="2">
          <reference field="4294967294" count="1" selected="0">
            <x v="0"/>
          </reference>
          <reference field="1" count="1" selected="0">
            <x v="72"/>
          </reference>
        </references>
      </pivotArea>
    </chartFormat>
    <chartFormat chart="5" format="6">
      <pivotArea type="data" outline="0" fieldPosition="0">
        <references count="2">
          <reference field="4294967294" count="1" selected="0">
            <x v="0"/>
          </reference>
          <reference field="1" count="1" selected="0">
            <x v="86"/>
          </reference>
        </references>
      </pivotArea>
    </chartFormat>
    <chartFormat chart="5" format="7">
      <pivotArea type="data" outline="0" fieldPosition="0">
        <references count="2">
          <reference field="4294967294" count="1" selected="0">
            <x v="0"/>
          </reference>
          <reference field="1" count="1" selected="0">
            <x v="2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5B1221-5143-4368-9A41-7E05F1E657CF}" name="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numFmtId="14" showAll="0"/>
    <pivotField showAll="0"/>
    <pivotField showAll="0"/>
    <pivotField showAll="0">
      <items count="4">
        <item x="1"/>
        <item x="0"/>
        <item x="2"/>
        <item t="default"/>
      </items>
    </pivotField>
    <pivotField showAll="0"/>
    <pivotField dataField="1" showAll="0"/>
    <pivotField showAll="0"/>
    <pivotField showAll="0"/>
    <pivotField showAll="0">
      <items count="13">
        <item x="9"/>
        <item x="1"/>
        <item x="11"/>
        <item x="2"/>
        <item x="0"/>
        <item x="7"/>
        <item x="4"/>
        <item x="6"/>
        <item x="10"/>
        <item x="3"/>
        <item x="8"/>
        <item x="5"/>
        <item t="default"/>
      </items>
    </pivotField>
    <pivotField showAll="0"/>
  </pivotFields>
  <rowItems count="1">
    <i/>
  </rowItems>
  <colItems count="1">
    <i/>
  </colItems>
  <dataFields count="1">
    <dataField name="Sum of sales" fld="5" baseField="0" baseItem="0" numFmtId="164"/>
  </dataFields>
  <formats count="3">
    <format dxfId="153">
      <pivotArea type="all" dataOnly="0" outline="0" fieldPosition="0"/>
    </format>
    <format dxfId="152">
      <pivotArea outline="0" collapsedLevelsAreSubtotals="1" fieldPosition="0"/>
    </format>
    <format dxfId="1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8E97A-201F-49FC-B69D-F68F37A0FF6B}"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E18" firstHeaderRow="1" firstDataRow="1" firstDataCol="1"/>
  <pivotFields count="10">
    <pivotField numFmtId="14" showAll="0"/>
    <pivotField showAll="0"/>
    <pivotField showAll="0"/>
    <pivotField showAll="0"/>
    <pivotField axis="axisRow" showAll="0" sortType="descending">
      <items count="13">
        <item x="6"/>
        <item x="5"/>
        <item x="2"/>
        <item x="9"/>
        <item x="4"/>
        <item x="1"/>
        <item x="0"/>
        <item x="10"/>
        <item x="3"/>
        <item x="7"/>
        <item x="8"/>
        <item x="11"/>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3">
        <item x="9"/>
        <item x="1"/>
        <item x="11"/>
        <item x="2"/>
        <item x="0"/>
        <item x="7"/>
        <item x="4"/>
        <item x="6"/>
        <item x="10"/>
        <item x="3"/>
        <item x="8"/>
        <item x="5"/>
        <item t="default"/>
      </items>
    </pivotField>
    <pivotField showAll="0"/>
  </pivotFields>
  <rowFields count="1">
    <field x="4"/>
  </rowFields>
  <rowItems count="13">
    <i>
      <x v="8"/>
    </i>
    <i>
      <x v="4"/>
    </i>
    <i>
      <x v="2"/>
    </i>
    <i>
      <x v="6"/>
    </i>
    <i>
      <x v="3"/>
    </i>
    <i>
      <x/>
    </i>
    <i>
      <x v="9"/>
    </i>
    <i>
      <x v="11"/>
    </i>
    <i>
      <x v="10"/>
    </i>
    <i>
      <x v="7"/>
    </i>
    <i>
      <x v="1"/>
    </i>
    <i>
      <x v="5"/>
    </i>
    <i t="grand">
      <x/>
    </i>
  </rowItems>
  <colItems count="1">
    <i/>
  </colItems>
  <dataFields count="1">
    <dataField name="Sum of sales" fld="5" baseField="0" baseItem="0" numFmtId="164"/>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9155C9-E102-4E5C-87DE-A352E647E843}" name="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7" firstHeaderRow="1" firstDataRow="1" firstDataCol="1"/>
  <pivotFields count="10">
    <pivotField numFmtId="14" showAll="0"/>
    <pivotField dataField="1" showAll="0"/>
    <pivotField showAll="0"/>
    <pivotField showAll="0">
      <items count="4">
        <item x="1"/>
        <item x="0"/>
        <item x="2"/>
        <item t="default"/>
      </items>
    </pivotField>
    <pivotField showAll="0">
      <items count="13">
        <item x="6"/>
        <item x="5"/>
        <item x="2"/>
        <item x="9"/>
        <item x="4"/>
        <item x="1"/>
        <item x="0"/>
        <item x="10"/>
        <item x="3"/>
        <item x="7"/>
        <item x="8"/>
        <item x="11"/>
        <item t="default"/>
      </items>
    </pivotField>
    <pivotField showAll="0"/>
    <pivotField showAll="0"/>
    <pivotField showAll="0"/>
    <pivotField showAll="0">
      <items count="13">
        <item x="9"/>
        <item x="1"/>
        <item x="11"/>
        <item x="2"/>
        <item x="0"/>
        <item x="7"/>
        <item x="4"/>
        <item x="6"/>
        <item x="10"/>
        <item x="3"/>
        <item x="8"/>
        <item x="5"/>
        <item t="default"/>
      </items>
    </pivotField>
    <pivotField axis="axisRow" showAll="0">
      <items count="4">
        <item x="2"/>
        <item x="1"/>
        <item x="0"/>
        <item t="default"/>
      </items>
    </pivotField>
  </pivotFields>
  <rowFields count="1">
    <field x="9"/>
  </rowFields>
  <rowItems count="4">
    <i>
      <x/>
    </i>
    <i>
      <x v="1"/>
    </i>
    <i>
      <x v="2"/>
    </i>
    <i t="grand">
      <x/>
    </i>
  </rowItems>
  <colItems count="1">
    <i/>
  </colItems>
  <dataFields count="1">
    <dataField name="Count of Customer Name" fld="1" subtotal="count" baseField="0" baseItem="0"/>
  </dataFields>
  <chartFormats count="8">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9" count="1" selected="0">
            <x v="0"/>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1"/>
          </reference>
        </references>
      </pivotArea>
    </chartFormat>
    <chartFormat chart="2"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D2DF34-C632-48D4-B4C7-363851E02732}" name="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S3:T16" firstHeaderRow="1" firstDataRow="1" firstDataCol="1"/>
  <pivotFields count="10">
    <pivotField numFmtId="14" showAll="0"/>
    <pivotField showAll="0">
      <items count="183">
        <item x="139"/>
        <item x="114"/>
        <item x="15"/>
        <item x="133"/>
        <item x="102"/>
        <item x="1"/>
        <item x="168"/>
        <item x="35"/>
        <item x="128"/>
        <item x="91"/>
        <item x="3"/>
        <item x="94"/>
        <item x="138"/>
        <item x="112"/>
        <item x="127"/>
        <item x="67"/>
        <item x="12"/>
        <item x="146"/>
        <item x="75"/>
        <item x="22"/>
        <item x="164"/>
        <item x="76"/>
        <item x="149"/>
        <item x="99"/>
        <item x="85"/>
        <item x="167"/>
        <item x="72"/>
        <item x="10"/>
        <item x="159"/>
        <item x="80"/>
        <item x="103"/>
        <item x="170"/>
        <item x="107"/>
        <item x="89"/>
        <item x="153"/>
        <item x="53"/>
        <item x="62"/>
        <item x="59"/>
        <item x="117"/>
        <item x="181"/>
        <item x="31"/>
        <item x="121"/>
        <item x="98"/>
        <item x="130"/>
        <item x="104"/>
        <item x="25"/>
        <item x="13"/>
        <item x="82"/>
        <item x="172"/>
        <item x="93"/>
        <item x="101"/>
        <item x="36"/>
        <item x="90"/>
        <item x="64"/>
        <item x="142"/>
        <item x="77"/>
        <item x="63"/>
        <item x="171"/>
        <item x="163"/>
        <item x="152"/>
        <item x="47"/>
        <item x="48"/>
        <item x="155"/>
        <item x="160"/>
        <item x="37"/>
        <item x="96"/>
        <item x="92"/>
        <item x="125"/>
        <item x="0"/>
        <item x="119"/>
        <item x="40"/>
        <item x="18"/>
        <item x="140"/>
        <item x="39"/>
        <item x="178"/>
        <item x="56"/>
        <item x="2"/>
        <item x="65"/>
        <item x="123"/>
        <item x="73"/>
        <item x="44"/>
        <item x="141"/>
        <item x="105"/>
        <item x="51"/>
        <item x="66"/>
        <item x="50"/>
        <item x="33"/>
        <item x="78"/>
        <item x="108"/>
        <item x="70"/>
        <item x="118"/>
        <item x="131"/>
        <item x="173"/>
        <item x="122"/>
        <item x="16"/>
        <item x="124"/>
        <item x="29"/>
        <item x="148"/>
        <item x="158"/>
        <item x="106"/>
        <item x="69"/>
        <item x="132"/>
        <item x="86"/>
        <item x="157"/>
        <item x="4"/>
        <item x="150"/>
        <item x="151"/>
        <item x="126"/>
        <item x="68"/>
        <item x="100"/>
        <item x="28"/>
        <item x="144"/>
        <item x="145"/>
        <item x="14"/>
        <item x="71"/>
        <item x="45"/>
        <item x="38"/>
        <item x="135"/>
        <item x="116"/>
        <item x="87"/>
        <item x="129"/>
        <item x="5"/>
        <item x="60"/>
        <item x="8"/>
        <item x="9"/>
        <item x="111"/>
        <item x="17"/>
        <item x="24"/>
        <item x="136"/>
        <item x="120"/>
        <item x="43"/>
        <item x="49"/>
        <item x="143"/>
        <item x="156"/>
        <item x="179"/>
        <item x="83"/>
        <item x="6"/>
        <item x="32"/>
        <item x="147"/>
        <item x="97"/>
        <item x="165"/>
        <item x="161"/>
        <item x="113"/>
        <item x="134"/>
        <item x="109"/>
        <item x="27"/>
        <item x="95"/>
        <item x="7"/>
        <item x="30"/>
        <item x="41"/>
        <item x="57"/>
        <item x="23"/>
        <item x="52"/>
        <item x="176"/>
        <item x="11"/>
        <item x="180"/>
        <item x="20"/>
        <item x="115"/>
        <item x="177"/>
        <item x="42"/>
        <item x="169"/>
        <item x="79"/>
        <item x="174"/>
        <item x="137"/>
        <item x="21"/>
        <item x="54"/>
        <item x="34"/>
        <item x="81"/>
        <item x="88"/>
        <item x="55"/>
        <item x="154"/>
        <item x="110"/>
        <item x="74"/>
        <item x="46"/>
        <item x="61"/>
        <item x="26"/>
        <item x="58"/>
        <item x="19"/>
        <item x="162"/>
        <item x="175"/>
        <item x="84"/>
        <item x="166"/>
        <item t="default"/>
      </items>
    </pivotField>
    <pivotField showAll="0"/>
    <pivotField showAll="0">
      <items count="4">
        <item x="1"/>
        <item x="0"/>
        <item x="2"/>
        <item t="default"/>
      </items>
    </pivotField>
    <pivotField showAll="0">
      <items count="13">
        <item x="6"/>
        <item x="5"/>
        <item x="2"/>
        <item x="9"/>
        <item x="4"/>
        <item x="1"/>
        <item x="0"/>
        <item x="10"/>
        <item x="3"/>
        <item x="7"/>
        <item x="8"/>
        <item x="11"/>
        <item t="default"/>
      </items>
    </pivotField>
    <pivotField dataField="1" showAll="0"/>
    <pivotField showAll="0"/>
    <pivotField showAll="0"/>
    <pivotField axis="axisRow" showAll="0">
      <items count="13">
        <item x="9"/>
        <item x="1"/>
        <item x="11"/>
        <item x="2"/>
        <item x="0"/>
        <item x="7"/>
        <item x="4"/>
        <item x="6"/>
        <item x="10"/>
        <item x="3"/>
        <item x="8"/>
        <item x="5"/>
        <item t="default"/>
      </items>
    </pivotField>
    <pivotField showAll="0">
      <items count="4">
        <item x="2"/>
        <item x="1"/>
        <item x="0"/>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sales" fld="5" baseField="0" baseItem="0" numFmtId="164"/>
  </dataFields>
  <formats count="1">
    <format dxfId="155">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2"/>
          </reference>
        </references>
      </pivotArea>
    </chartFormat>
    <chartFormat chart="3" format="6">
      <pivotArea type="data" outline="0" fieldPosition="0">
        <references count="2">
          <reference field="4294967294" count="1" selected="0">
            <x v="0"/>
          </reference>
          <reference field="8" count="1" selected="0">
            <x v="3"/>
          </reference>
        </references>
      </pivotArea>
    </chartFormat>
    <chartFormat chart="3" format="7">
      <pivotArea type="data" outline="0" fieldPosition="0">
        <references count="2">
          <reference field="4294967294" count="1" selected="0">
            <x v="0"/>
          </reference>
          <reference field="8" count="1" selected="0">
            <x v="4"/>
          </reference>
        </references>
      </pivotArea>
    </chartFormat>
    <chartFormat chart="3" format="8">
      <pivotArea type="data" outline="0" fieldPosition="0">
        <references count="2">
          <reference field="4294967294" count="1" selected="0">
            <x v="0"/>
          </reference>
          <reference field="8" count="1" selected="0">
            <x v="5"/>
          </reference>
        </references>
      </pivotArea>
    </chartFormat>
    <chartFormat chart="3" format="9">
      <pivotArea type="data" outline="0" fieldPosition="0">
        <references count="2">
          <reference field="4294967294" count="1" selected="0">
            <x v="0"/>
          </reference>
          <reference field="8" count="1" selected="0">
            <x v="6"/>
          </reference>
        </references>
      </pivotArea>
    </chartFormat>
    <chartFormat chart="3" format="10">
      <pivotArea type="data" outline="0" fieldPosition="0">
        <references count="2">
          <reference field="4294967294" count="1" selected="0">
            <x v="0"/>
          </reference>
          <reference field="8" count="1" selected="0">
            <x v="7"/>
          </reference>
        </references>
      </pivotArea>
    </chartFormat>
    <chartFormat chart="3" format="11">
      <pivotArea type="data" outline="0" fieldPosition="0">
        <references count="2">
          <reference field="4294967294" count="1" selected="0">
            <x v="0"/>
          </reference>
          <reference field="8" count="1" selected="0">
            <x v="8"/>
          </reference>
        </references>
      </pivotArea>
    </chartFormat>
    <chartFormat chart="3" format="12">
      <pivotArea type="data" outline="0" fieldPosition="0">
        <references count="2">
          <reference field="4294967294" count="1" selected="0">
            <x v="0"/>
          </reference>
          <reference field="8" count="1" selected="0">
            <x v="9"/>
          </reference>
        </references>
      </pivotArea>
    </chartFormat>
    <chartFormat chart="3" format="13">
      <pivotArea type="data" outline="0" fieldPosition="0">
        <references count="2">
          <reference field="4294967294" count="1" selected="0">
            <x v="0"/>
          </reference>
          <reference field="8" count="1" selected="0">
            <x v="10"/>
          </reference>
        </references>
      </pivotArea>
    </chartFormat>
    <chartFormat chart="3" format="14">
      <pivotArea type="data" outline="0" fieldPosition="0">
        <references count="2">
          <reference field="4294967294" count="1" selected="0">
            <x v="0"/>
          </reference>
          <reference field="8" count="1" selected="0">
            <x v="11"/>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8FDD26-656E-48ED-8380-5D5E54D3BEEB}" sourceName="Category">
  <pivotTables>
    <pivotTable tabId="3" name="month"/>
    <pivotTable tabId="3" name="customer"/>
    <pivotTable tabId="3" name="state"/>
    <pivotTable tabId="3" name="top"/>
    <pivotTable tabId="3" name="year"/>
    <pivotTable tabId="3" name="profit"/>
    <pivotTable tabId="3" name="sales"/>
  </pivotTables>
  <data>
    <tabular pivotCacheId="67306946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48EADC-FCF9-4551-8BBA-EC44C2C57AD4}" sourceName="Month">
  <pivotTables>
    <pivotTable tabId="3" name="category"/>
    <pivotTable tabId="3" name="customer"/>
    <pivotTable tabId="3" name="state"/>
    <pivotTable tabId="3" name="top"/>
    <pivotTable tabId="3" name="year"/>
    <pivotTable tabId="3" name="profit"/>
    <pivotTable tabId="3" name="sales"/>
  </pivotTables>
  <data>
    <tabular pivotCacheId="673069466">
      <items count="12">
        <i x="9" s="1"/>
        <i x="1" s="1"/>
        <i x="11" s="1"/>
        <i x="2" s="1"/>
        <i x="0" s="1"/>
        <i x="7" s="1"/>
        <i x="4" s="1"/>
        <i x="6" s="1"/>
        <i x="10" s="1"/>
        <i x="3" s="1"/>
        <i x="8"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C0BA4C-BA0C-4DEB-BFD2-7FE2F7390B27}" sourceName="Year">
  <pivotTables>
    <pivotTable tabId="3" name="month"/>
  </pivotTables>
  <data>
    <tabular pivotCacheId="67306946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C414D05-6108-41C8-AFD1-DDCB491A4F96}" cache="Slicer_Category" caption="Category" style="vedu" rowHeight="241300"/>
  <slicer name="Month" xr10:uid="{E0733694-57C4-4B30-ACF5-EA59F63EF993}" cache="Slicer_Month" caption="Month" style="vedu" rowHeight="241300"/>
  <slicer name="Year" xr10:uid="{FBD085E1-906E-48C1-9311-3C62D887BB69}" cache="Slicer_Year" caption="Year" style="vedu"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7EA607-497F-49D6-B509-E1E6B036F7D7}" name="Table1" displayName="Table1" ref="A1:J184" totalsRowShown="0" headerRowDxfId="167" dataDxfId="166">
  <autoFilter ref="A1:J184" xr:uid="{267EA607-497F-49D6-B509-E1E6B036F7D7}"/>
  <tableColumns count="10">
    <tableColumn id="1" xr3:uid="{674E1CF6-8D1C-4921-8D96-35A3A1916B8D}" name="Order Date" dataDxfId="165"/>
    <tableColumn id="2" xr3:uid="{7F8967DD-1262-467F-B71E-ED37CCCE96E3}" name="Customer Name" dataDxfId="164"/>
    <tableColumn id="3" xr3:uid="{64524CDC-FCE6-4DD6-AE6E-02FCC46C7B8E}" name=" State" dataDxfId="163"/>
    <tableColumn id="4" xr3:uid="{824FD3AB-7765-4811-AD75-1CD8203B468F}" name="Category" dataDxfId="162"/>
    <tableColumn id="5" xr3:uid="{8DD6549C-2965-4AE9-937C-8388B18739B8}" name="Sub-Category" dataDxfId="161"/>
    <tableColumn id="6" xr3:uid="{FB019E39-F2E5-4C9D-B0E5-75A05D556DEA}" name="sales" dataDxfId="160"/>
    <tableColumn id="7" xr3:uid="{3AA28DAB-6671-4A02-9356-85C8106A3890}" name="Quantity" dataDxfId="159"/>
    <tableColumn id="8" xr3:uid="{89C430C4-8928-4113-84AF-00FF4B1C2EA1}" name="Profit " dataDxfId="158"/>
    <tableColumn id="9" xr3:uid="{76E06E32-D99F-4691-8AC4-23A211588B7C}" name="Month" dataDxfId="157"/>
    <tableColumn id="10" xr3:uid="{304328F6-4AE4-42D3-94E2-C7E84CD3DB77}" name="Year" dataDxfId="1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4139-0927-4FA6-A9B1-E652E980D382}">
  <dimension ref="A1:J251"/>
  <sheetViews>
    <sheetView workbookViewId="0">
      <selection activeCell="K19" sqref="K19"/>
    </sheetView>
  </sheetViews>
  <sheetFormatPr defaultRowHeight="14.4" x14ac:dyDescent="0.3"/>
  <cols>
    <col min="1" max="1" width="16" customWidth="1"/>
    <col min="2" max="2" width="19.109375" customWidth="1"/>
    <col min="3" max="3" width="15.44140625" customWidth="1"/>
    <col min="4" max="4" width="16.88671875" customWidth="1"/>
    <col min="5" max="5" width="18.33203125" customWidth="1"/>
    <col min="6" max="6" width="15.5546875" customWidth="1"/>
    <col min="7" max="7" width="12.33203125" customWidth="1"/>
    <col min="8" max="8" width="11.33203125" customWidth="1"/>
    <col min="9" max="9" width="12.109375" customWidth="1"/>
    <col min="10" max="10" width="11" customWidth="1"/>
  </cols>
  <sheetData>
    <row r="1" spans="1:10" x14ac:dyDescent="0.3">
      <c r="A1" s="2" t="s">
        <v>0</v>
      </c>
      <c r="B1" s="2" t="s">
        <v>1</v>
      </c>
      <c r="C1" s="2" t="s">
        <v>247</v>
      </c>
      <c r="D1" s="2" t="s">
        <v>2</v>
      </c>
      <c r="E1" s="2" t="s">
        <v>3</v>
      </c>
      <c r="F1" s="2" t="s">
        <v>234</v>
      </c>
      <c r="G1" s="2" t="s">
        <v>4</v>
      </c>
      <c r="H1" s="2" t="s">
        <v>235</v>
      </c>
      <c r="I1" s="2" t="s">
        <v>5</v>
      </c>
      <c r="J1" s="2" t="s">
        <v>6</v>
      </c>
    </row>
    <row r="2" spans="1:10" x14ac:dyDescent="0.3">
      <c r="A2" s="3">
        <v>45806</v>
      </c>
      <c r="B2" s="2" t="s">
        <v>7</v>
      </c>
      <c r="C2" s="2" t="s">
        <v>8</v>
      </c>
      <c r="D2" s="2" t="s">
        <v>9</v>
      </c>
      <c r="E2" s="2" t="s">
        <v>10</v>
      </c>
      <c r="F2" s="2">
        <v>68961.17</v>
      </c>
      <c r="G2" s="2">
        <v>5</v>
      </c>
      <c r="H2" s="2">
        <v>18180.05</v>
      </c>
      <c r="I2" s="2" t="s">
        <v>11</v>
      </c>
      <c r="J2" s="2">
        <v>2025</v>
      </c>
    </row>
    <row r="3" spans="1:10" x14ac:dyDescent="0.3">
      <c r="A3" s="3">
        <v>45690</v>
      </c>
      <c r="B3" s="2" t="s">
        <v>12</v>
      </c>
      <c r="C3" s="2" t="s">
        <v>13</v>
      </c>
      <c r="D3" s="2" t="s">
        <v>14</v>
      </c>
      <c r="E3" s="2" t="s">
        <v>15</v>
      </c>
      <c r="F3" s="2">
        <v>12536.13</v>
      </c>
      <c r="G3" s="2">
        <v>7</v>
      </c>
      <c r="H3" s="2">
        <v>2356.86</v>
      </c>
      <c r="I3" s="2" t="s">
        <v>16</v>
      </c>
      <c r="J3" s="2">
        <v>2025</v>
      </c>
    </row>
    <row r="4" spans="1:10" x14ac:dyDescent="0.3">
      <c r="A4" s="3">
        <v>45772</v>
      </c>
      <c r="B4" s="2" t="s">
        <v>17</v>
      </c>
      <c r="C4" s="2" t="s">
        <v>18</v>
      </c>
      <c r="D4" s="2" t="s">
        <v>9</v>
      </c>
      <c r="E4" s="2" t="s">
        <v>10</v>
      </c>
      <c r="F4" s="2">
        <v>27765.9</v>
      </c>
      <c r="G4" s="2">
        <v>5</v>
      </c>
      <c r="H4" s="2">
        <v>7166.34</v>
      </c>
      <c r="I4" s="2" t="s">
        <v>19</v>
      </c>
      <c r="J4" s="2">
        <v>2025</v>
      </c>
    </row>
    <row r="5" spans="1:10" x14ac:dyDescent="0.3">
      <c r="A5" s="3">
        <v>45572</v>
      </c>
      <c r="B5" s="2" t="s">
        <v>20</v>
      </c>
      <c r="C5" s="2" t="s">
        <v>18</v>
      </c>
      <c r="D5" s="2" t="s">
        <v>14</v>
      </c>
      <c r="E5" s="2" t="s">
        <v>21</v>
      </c>
      <c r="F5" s="2">
        <v>47235.32</v>
      </c>
      <c r="G5" s="2">
        <v>4</v>
      </c>
      <c r="H5" s="2">
        <v>5461.32</v>
      </c>
      <c r="I5" s="2" t="s">
        <v>22</v>
      </c>
      <c r="J5" s="2">
        <v>2024</v>
      </c>
    </row>
    <row r="6" spans="1:10" x14ac:dyDescent="0.3">
      <c r="A6" s="3">
        <v>45840</v>
      </c>
      <c r="B6" s="2" t="s">
        <v>23</v>
      </c>
      <c r="C6" s="2" t="s">
        <v>8</v>
      </c>
      <c r="D6" s="2" t="s">
        <v>24</v>
      </c>
      <c r="E6" s="2" t="s">
        <v>25</v>
      </c>
      <c r="F6" s="2">
        <v>3370.82</v>
      </c>
      <c r="G6" s="2">
        <v>10</v>
      </c>
      <c r="H6" s="2">
        <v>804.21</v>
      </c>
      <c r="I6" s="2" t="s">
        <v>26</v>
      </c>
      <c r="J6" s="2">
        <v>2025</v>
      </c>
    </row>
    <row r="7" spans="1:10" x14ac:dyDescent="0.3">
      <c r="A7" s="3">
        <v>45275</v>
      </c>
      <c r="B7" s="2" t="s">
        <v>27</v>
      </c>
      <c r="C7" s="2" t="s">
        <v>28</v>
      </c>
      <c r="D7" s="2" t="s">
        <v>9</v>
      </c>
      <c r="E7" s="2" t="s">
        <v>29</v>
      </c>
      <c r="F7" s="2">
        <v>58057.62</v>
      </c>
      <c r="G7" s="2">
        <v>10</v>
      </c>
      <c r="H7" s="2">
        <v>7685.19</v>
      </c>
      <c r="I7" s="2" t="s">
        <v>30</v>
      </c>
      <c r="J7" s="2">
        <v>2023</v>
      </c>
    </row>
    <row r="8" spans="1:10" x14ac:dyDescent="0.3">
      <c r="A8" s="3">
        <v>45798</v>
      </c>
      <c r="B8" s="2" t="s">
        <v>31</v>
      </c>
      <c r="C8" s="2" t="s">
        <v>32</v>
      </c>
      <c r="D8" s="2" t="s">
        <v>24</v>
      </c>
      <c r="E8" s="2" t="s">
        <v>25</v>
      </c>
      <c r="F8" s="2">
        <v>96508.57</v>
      </c>
      <c r="G8" s="2">
        <v>2</v>
      </c>
      <c r="H8" s="2">
        <v>6378.02</v>
      </c>
      <c r="I8" s="2" t="s">
        <v>11</v>
      </c>
      <c r="J8" s="2">
        <v>2025</v>
      </c>
    </row>
    <row r="9" spans="1:10" x14ac:dyDescent="0.3">
      <c r="A9" s="3">
        <v>45579</v>
      </c>
      <c r="B9" s="2" t="s">
        <v>33</v>
      </c>
      <c r="C9" s="2" t="s">
        <v>34</v>
      </c>
      <c r="D9" s="2" t="s">
        <v>9</v>
      </c>
      <c r="E9" s="2" t="s">
        <v>35</v>
      </c>
      <c r="F9" s="2">
        <v>71713.91</v>
      </c>
      <c r="G9" s="2">
        <v>10</v>
      </c>
      <c r="H9" s="2">
        <v>13273.33</v>
      </c>
      <c r="I9" s="2" t="s">
        <v>22</v>
      </c>
      <c r="J9" s="2">
        <v>2024</v>
      </c>
    </row>
    <row r="10" spans="1:10" x14ac:dyDescent="0.3">
      <c r="A10" s="3">
        <v>45689</v>
      </c>
      <c r="B10" s="2" t="s">
        <v>36</v>
      </c>
      <c r="C10" s="2" t="s">
        <v>8</v>
      </c>
      <c r="D10" s="2" t="s">
        <v>24</v>
      </c>
      <c r="E10" s="2" t="s">
        <v>37</v>
      </c>
      <c r="F10" s="2">
        <v>47381.22</v>
      </c>
      <c r="G10" s="2">
        <v>2</v>
      </c>
      <c r="H10" s="2">
        <v>10309.530000000001</v>
      </c>
      <c r="I10" s="2" t="s">
        <v>16</v>
      </c>
      <c r="J10" s="2">
        <v>2025</v>
      </c>
    </row>
    <row r="11" spans="1:10" x14ac:dyDescent="0.3">
      <c r="A11" s="3">
        <v>45515</v>
      </c>
      <c r="B11" s="2" t="s">
        <v>38</v>
      </c>
      <c r="C11" s="2" t="s">
        <v>39</v>
      </c>
      <c r="D11" s="2" t="s">
        <v>9</v>
      </c>
      <c r="E11" s="2" t="s">
        <v>29</v>
      </c>
      <c r="F11" s="2">
        <v>33127.83</v>
      </c>
      <c r="G11" s="2">
        <v>6</v>
      </c>
      <c r="H11" s="2">
        <v>3968.33</v>
      </c>
      <c r="I11" s="2" t="s">
        <v>40</v>
      </c>
      <c r="J11" s="2">
        <v>2024</v>
      </c>
    </row>
    <row r="12" spans="1:10" x14ac:dyDescent="0.3">
      <c r="A12" s="3">
        <v>45821</v>
      </c>
      <c r="B12" s="2" t="s">
        <v>41</v>
      </c>
      <c r="C12" s="2" t="s">
        <v>42</v>
      </c>
      <c r="D12" s="2" t="s">
        <v>9</v>
      </c>
      <c r="E12" s="2" t="s">
        <v>43</v>
      </c>
      <c r="F12" s="2">
        <v>78281.850000000006</v>
      </c>
      <c r="G12" s="2">
        <v>4</v>
      </c>
      <c r="H12" s="2">
        <v>5846.84</v>
      </c>
      <c r="I12" s="2" t="s">
        <v>44</v>
      </c>
      <c r="J12" s="2">
        <v>2025</v>
      </c>
    </row>
    <row r="13" spans="1:10" x14ac:dyDescent="0.3">
      <c r="A13" s="3">
        <v>45232</v>
      </c>
      <c r="B13" s="2" t="s">
        <v>45</v>
      </c>
      <c r="C13" s="2" t="s">
        <v>46</v>
      </c>
      <c r="D13" s="2" t="s">
        <v>24</v>
      </c>
      <c r="E13" s="2" t="s">
        <v>25</v>
      </c>
      <c r="F13" s="2">
        <v>4746.6000000000004</v>
      </c>
      <c r="G13" s="2">
        <v>1</v>
      </c>
      <c r="H13" s="2">
        <v>958.04</v>
      </c>
      <c r="I13" s="2" t="s">
        <v>47</v>
      </c>
      <c r="J13" s="2">
        <v>2023</v>
      </c>
    </row>
    <row r="14" spans="1:10" x14ac:dyDescent="0.3">
      <c r="A14" s="3">
        <v>45794</v>
      </c>
      <c r="B14" s="2" t="s">
        <v>48</v>
      </c>
      <c r="C14" s="2" t="s">
        <v>46</v>
      </c>
      <c r="D14" s="2" t="s">
        <v>24</v>
      </c>
      <c r="E14" s="2" t="s">
        <v>37</v>
      </c>
      <c r="F14" s="2">
        <v>8886.4</v>
      </c>
      <c r="G14" s="2">
        <v>1</v>
      </c>
      <c r="H14" s="2">
        <v>2465.04</v>
      </c>
      <c r="I14" s="2" t="s">
        <v>11</v>
      </c>
      <c r="J14" s="2">
        <v>2025</v>
      </c>
    </row>
    <row r="15" spans="1:10" x14ac:dyDescent="0.3">
      <c r="A15" s="3">
        <v>45649</v>
      </c>
      <c r="B15" s="2" t="s">
        <v>49</v>
      </c>
      <c r="C15" s="2" t="s">
        <v>50</v>
      </c>
      <c r="D15" s="2" t="s">
        <v>9</v>
      </c>
      <c r="E15" s="2" t="s">
        <v>29</v>
      </c>
      <c r="F15" s="2">
        <v>78903.05</v>
      </c>
      <c r="G15" s="2">
        <v>8</v>
      </c>
      <c r="H15" s="2">
        <v>16342.92</v>
      </c>
      <c r="I15" s="2" t="s">
        <v>30</v>
      </c>
      <c r="J15" s="2">
        <v>2024</v>
      </c>
    </row>
    <row r="16" spans="1:10" x14ac:dyDescent="0.3">
      <c r="A16" s="3">
        <v>45587</v>
      </c>
      <c r="B16" s="2" t="s">
        <v>51</v>
      </c>
      <c r="C16" s="2" t="s">
        <v>42</v>
      </c>
      <c r="D16" s="2" t="s">
        <v>9</v>
      </c>
      <c r="E16" s="2" t="s">
        <v>29</v>
      </c>
      <c r="F16" s="2">
        <v>68704.03</v>
      </c>
      <c r="G16" s="2">
        <v>5</v>
      </c>
      <c r="H16" s="2">
        <v>7772.04</v>
      </c>
      <c r="I16" s="2" t="s">
        <v>22</v>
      </c>
      <c r="J16" s="2">
        <v>2024</v>
      </c>
    </row>
    <row r="17" spans="1:10" x14ac:dyDescent="0.3">
      <c r="A17" s="3">
        <v>45572</v>
      </c>
      <c r="B17" s="2" t="s">
        <v>52</v>
      </c>
      <c r="C17" s="2" t="s">
        <v>8</v>
      </c>
      <c r="D17" s="2" t="s">
        <v>9</v>
      </c>
      <c r="E17" s="2" t="s">
        <v>10</v>
      </c>
      <c r="F17" s="2">
        <v>50110.94</v>
      </c>
      <c r="G17" s="2">
        <v>7</v>
      </c>
      <c r="H17" s="2">
        <v>14651.31</v>
      </c>
      <c r="I17" s="2" t="s">
        <v>22</v>
      </c>
      <c r="J17" s="2">
        <v>2024</v>
      </c>
    </row>
    <row r="18" spans="1:10" x14ac:dyDescent="0.3">
      <c r="A18" s="3">
        <v>45831</v>
      </c>
      <c r="B18" s="2" t="s">
        <v>53</v>
      </c>
      <c r="C18" s="2" t="s">
        <v>54</v>
      </c>
      <c r="D18" s="2" t="s">
        <v>24</v>
      </c>
      <c r="E18" s="2" t="s">
        <v>55</v>
      </c>
      <c r="F18" s="2">
        <v>44949.91</v>
      </c>
      <c r="G18" s="2">
        <v>2</v>
      </c>
      <c r="H18" s="2">
        <v>5112.1000000000004</v>
      </c>
      <c r="I18" s="2" t="s">
        <v>44</v>
      </c>
      <c r="J18" s="2">
        <v>2025</v>
      </c>
    </row>
    <row r="19" spans="1:10" x14ac:dyDescent="0.3">
      <c r="A19" s="3">
        <v>45599</v>
      </c>
      <c r="B19" s="2" t="s">
        <v>56</v>
      </c>
      <c r="C19" s="2" t="s">
        <v>50</v>
      </c>
      <c r="D19" s="2" t="s">
        <v>14</v>
      </c>
      <c r="E19" s="2" t="s">
        <v>57</v>
      </c>
      <c r="F19" s="2">
        <v>82450.649999999994</v>
      </c>
      <c r="G19" s="2">
        <v>9</v>
      </c>
      <c r="H19" s="2">
        <v>20730.71</v>
      </c>
      <c r="I19" s="2" t="s">
        <v>47</v>
      </c>
      <c r="J19" s="2">
        <v>2024</v>
      </c>
    </row>
    <row r="20" spans="1:10" x14ac:dyDescent="0.3">
      <c r="A20" s="3">
        <v>45580</v>
      </c>
      <c r="B20" s="2" t="s">
        <v>58</v>
      </c>
      <c r="C20" s="2" t="s">
        <v>59</v>
      </c>
      <c r="D20" s="2" t="s">
        <v>9</v>
      </c>
      <c r="E20" s="2" t="s">
        <v>29</v>
      </c>
      <c r="F20" s="2">
        <v>59492.25</v>
      </c>
      <c r="G20" s="2">
        <v>9</v>
      </c>
      <c r="H20" s="2">
        <v>3667</v>
      </c>
      <c r="I20" s="2" t="s">
        <v>22</v>
      </c>
      <c r="J20" s="2">
        <v>2024</v>
      </c>
    </row>
    <row r="21" spans="1:10" x14ac:dyDescent="0.3">
      <c r="A21" s="3">
        <v>45683</v>
      </c>
      <c r="B21" s="2" t="s">
        <v>60</v>
      </c>
      <c r="C21" s="2" t="s">
        <v>28</v>
      </c>
      <c r="D21" s="2" t="s">
        <v>9</v>
      </c>
      <c r="E21" s="2" t="s">
        <v>35</v>
      </c>
      <c r="F21" s="2">
        <v>4287.8</v>
      </c>
      <c r="G21" s="2">
        <v>4</v>
      </c>
      <c r="H21" s="2">
        <v>636.17999999999995</v>
      </c>
      <c r="I21" s="2" t="s">
        <v>61</v>
      </c>
      <c r="J21" s="2">
        <v>2025</v>
      </c>
    </row>
    <row r="22" spans="1:10" x14ac:dyDescent="0.3">
      <c r="A22" s="3">
        <v>45115</v>
      </c>
      <c r="B22" s="2" t="s">
        <v>62</v>
      </c>
      <c r="C22" s="2" t="s">
        <v>28</v>
      </c>
      <c r="D22" s="2" t="s">
        <v>14</v>
      </c>
      <c r="E22" s="2" t="s">
        <v>15</v>
      </c>
      <c r="F22" s="2">
        <v>81755.98</v>
      </c>
      <c r="G22" s="2">
        <v>1</v>
      </c>
      <c r="H22" s="2">
        <v>19585.150000000001</v>
      </c>
      <c r="I22" s="2" t="s">
        <v>26</v>
      </c>
      <c r="J22" s="2">
        <v>2023</v>
      </c>
    </row>
    <row r="23" spans="1:10" x14ac:dyDescent="0.3">
      <c r="A23" s="3">
        <v>45545</v>
      </c>
      <c r="B23" s="2" t="s">
        <v>63</v>
      </c>
      <c r="C23" s="2" t="s">
        <v>64</v>
      </c>
      <c r="D23" s="2" t="s">
        <v>9</v>
      </c>
      <c r="E23" s="2" t="s">
        <v>10</v>
      </c>
      <c r="F23" s="2">
        <v>56831.51</v>
      </c>
      <c r="G23" s="2">
        <v>5</v>
      </c>
      <c r="H23" s="2">
        <v>15616.31</v>
      </c>
      <c r="I23" s="2" t="s">
        <v>65</v>
      </c>
      <c r="J23" s="2">
        <v>2024</v>
      </c>
    </row>
    <row r="24" spans="1:10" x14ac:dyDescent="0.3">
      <c r="A24" s="3">
        <v>45655</v>
      </c>
      <c r="B24" s="2" t="s">
        <v>66</v>
      </c>
      <c r="C24" s="2" t="s">
        <v>28</v>
      </c>
      <c r="D24" s="2" t="s">
        <v>14</v>
      </c>
      <c r="E24" s="2" t="s">
        <v>57</v>
      </c>
      <c r="F24" s="2">
        <v>11864.82</v>
      </c>
      <c r="G24" s="2">
        <v>2</v>
      </c>
      <c r="H24" s="2">
        <v>3062.3</v>
      </c>
      <c r="I24" s="2" t="s">
        <v>30</v>
      </c>
      <c r="J24" s="2">
        <v>2024</v>
      </c>
    </row>
    <row r="25" spans="1:10" x14ac:dyDescent="0.3">
      <c r="A25" s="3">
        <v>45718</v>
      </c>
      <c r="B25" s="2" t="s">
        <v>67</v>
      </c>
      <c r="C25" s="2" t="s">
        <v>39</v>
      </c>
      <c r="D25" s="2" t="s">
        <v>9</v>
      </c>
      <c r="E25" s="2" t="s">
        <v>10</v>
      </c>
      <c r="F25" s="2">
        <v>64342.8</v>
      </c>
      <c r="G25" s="2">
        <v>10</v>
      </c>
      <c r="H25" s="2">
        <v>5825.33</v>
      </c>
      <c r="I25" s="2" t="s">
        <v>68</v>
      </c>
      <c r="J25" s="2">
        <v>2025</v>
      </c>
    </row>
    <row r="26" spans="1:10" x14ac:dyDescent="0.3">
      <c r="A26" s="3">
        <v>45796</v>
      </c>
      <c r="B26" s="2" t="s">
        <v>69</v>
      </c>
      <c r="C26" s="2" t="s">
        <v>42</v>
      </c>
      <c r="D26" s="2" t="s">
        <v>24</v>
      </c>
      <c r="E26" s="2" t="s">
        <v>70</v>
      </c>
      <c r="F26" s="2">
        <v>97455.89</v>
      </c>
      <c r="G26" s="2">
        <v>8</v>
      </c>
      <c r="H26" s="2">
        <v>28436.26</v>
      </c>
      <c r="I26" s="2" t="s">
        <v>11</v>
      </c>
      <c r="J26" s="2">
        <v>2025</v>
      </c>
    </row>
    <row r="27" spans="1:10" x14ac:dyDescent="0.3">
      <c r="A27" s="3">
        <v>45819</v>
      </c>
      <c r="B27" s="2" t="s">
        <v>71</v>
      </c>
      <c r="C27" s="2" t="s">
        <v>72</v>
      </c>
      <c r="D27" s="2" t="s">
        <v>14</v>
      </c>
      <c r="E27" s="2" t="s">
        <v>21</v>
      </c>
      <c r="F27" s="2">
        <v>70989.64</v>
      </c>
      <c r="G27" s="2">
        <v>6</v>
      </c>
      <c r="H27" s="2">
        <v>8548.1</v>
      </c>
      <c r="I27" s="2" t="s">
        <v>44</v>
      </c>
      <c r="J27" s="2">
        <v>2025</v>
      </c>
    </row>
    <row r="28" spans="1:10" x14ac:dyDescent="0.3">
      <c r="A28" s="3">
        <v>45778</v>
      </c>
      <c r="B28" s="2" t="s">
        <v>73</v>
      </c>
      <c r="C28" s="2" t="s">
        <v>74</v>
      </c>
      <c r="D28" s="2" t="s">
        <v>14</v>
      </c>
      <c r="E28" s="2" t="s">
        <v>75</v>
      </c>
      <c r="F28" s="2">
        <v>50714.82</v>
      </c>
      <c r="G28" s="2">
        <v>5</v>
      </c>
      <c r="H28" s="2">
        <v>4819.93</v>
      </c>
      <c r="I28" s="2" t="s">
        <v>11</v>
      </c>
      <c r="J28" s="2">
        <v>2025</v>
      </c>
    </row>
    <row r="29" spans="1:10" x14ac:dyDescent="0.3">
      <c r="A29" s="3">
        <v>45861</v>
      </c>
      <c r="B29" s="2" t="s">
        <v>76</v>
      </c>
      <c r="C29" s="2" t="s">
        <v>72</v>
      </c>
      <c r="D29" s="2" t="s">
        <v>14</v>
      </c>
      <c r="E29" s="2" t="s">
        <v>21</v>
      </c>
      <c r="F29" s="2">
        <v>65385.440000000002</v>
      </c>
      <c r="G29" s="2">
        <v>10</v>
      </c>
      <c r="H29" s="2">
        <v>9780.85</v>
      </c>
      <c r="I29" s="2" t="s">
        <v>26</v>
      </c>
      <c r="J29" s="2">
        <v>2025</v>
      </c>
    </row>
    <row r="30" spans="1:10" x14ac:dyDescent="0.3">
      <c r="A30" s="3">
        <v>45505</v>
      </c>
      <c r="B30" s="2" t="s">
        <v>77</v>
      </c>
      <c r="C30" s="2" t="s">
        <v>34</v>
      </c>
      <c r="D30" s="2" t="s">
        <v>14</v>
      </c>
      <c r="E30" s="2" t="s">
        <v>15</v>
      </c>
      <c r="F30" s="2">
        <v>64819.97</v>
      </c>
      <c r="G30" s="2">
        <v>8</v>
      </c>
      <c r="H30" s="2">
        <v>4819.34</v>
      </c>
      <c r="I30" s="2" t="s">
        <v>40</v>
      </c>
      <c r="J30" s="2">
        <v>2024</v>
      </c>
    </row>
    <row r="31" spans="1:10" x14ac:dyDescent="0.3">
      <c r="A31" s="3">
        <v>45551</v>
      </c>
      <c r="B31" s="2" t="s">
        <v>78</v>
      </c>
      <c r="C31" s="2" t="s">
        <v>59</v>
      </c>
      <c r="D31" s="2" t="s">
        <v>24</v>
      </c>
      <c r="E31" s="2" t="s">
        <v>37</v>
      </c>
      <c r="F31" s="2">
        <v>13939.56</v>
      </c>
      <c r="G31" s="2">
        <v>1</v>
      </c>
      <c r="H31" s="2">
        <v>2040.31</v>
      </c>
      <c r="I31" s="2" t="s">
        <v>65</v>
      </c>
      <c r="J31" s="2">
        <v>2024</v>
      </c>
    </row>
    <row r="32" spans="1:10" x14ac:dyDescent="0.3">
      <c r="A32" s="3">
        <v>45579</v>
      </c>
      <c r="B32" s="2" t="s">
        <v>79</v>
      </c>
      <c r="C32" s="2" t="s">
        <v>39</v>
      </c>
      <c r="D32" s="2" t="s">
        <v>9</v>
      </c>
      <c r="E32" s="2" t="s">
        <v>43</v>
      </c>
      <c r="F32" s="2">
        <v>26392.39</v>
      </c>
      <c r="G32" s="2">
        <v>6</v>
      </c>
      <c r="H32" s="2">
        <v>1684.64</v>
      </c>
      <c r="I32" s="2" t="s">
        <v>22</v>
      </c>
      <c r="J32" s="2">
        <v>2024</v>
      </c>
    </row>
    <row r="33" spans="1:10" x14ac:dyDescent="0.3">
      <c r="A33" s="3">
        <v>45552</v>
      </c>
      <c r="B33" s="2" t="s">
        <v>80</v>
      </c>
      <c r="C33" s="2" t="s">
        <v>46</v>
      </c>
      <c r="D33" s="2" t="s">
        <v>9</v>
      </c>
      <c r="E33" s="2" t="s">
        <v>43</v>
      </c>
      <c r="F33" s="2">
        <v>58505.67</v>
      </c>
      <c r="G33" s="2">
        <v>4</v>
      </c>
      <c r="H33" s="2">
        <v>16353.74</v>
      </c>
      <c r="I33" s="2" t="s">
        <v>65</v>
      </c>
      <c r="J33" s="2">
        <v>2024</v>
      </c>
    </row>
    <row r="34" spans="1:10" x14ac:dyDescent="0.3">
      <c r="A34" s="3">
        <v>45609</v>
      </c>
      <c r="B34" s="2" t="s">
        <v>81</v>
      </c>
      <c r="C34" s="2" t="s">
        <v>82</v>
      </c>
      <c r="D34" s="2" t="s">
        <v>24</v>
      </c>
      <c r="E34" s="2" t="s">
        <v>25</v>
      </c>
      <c r="F34" s="2">
        <v>88585.62</v>
      </c>
      <c r="G34" s="2">
        <v>2</v>
      </c>
      <c r="H34" s="2">
        <v>21632.86</v>
      </c>
      <c r="I34" s="2" t="s">
        <v>47</v>
      </c>
      <c r="J34" s="2">
        <v>2024</v>
      </c>
    </row>
    <row r="35" spans="1:10" x14ac:dyDescent="0.3">
      <c r="A35" s="3">
        <v>45824</v>
      </c>
      <c r="B35" s="2" t="s">
        <v>83</v>
      </c>
      <c r="C35" s="2" t="s">
        <v>84</v>
      </c>
      <c r="D35" s="2" t="s">
        <v>14</v>
      </c>
      <c r="E35" s="2" t="s">
        <v>21</v>
      </c>
      <c r="F35" s="2">
        <v>77573.100000000006</v>
      </c>
      <c r="G35" s="2">
        <v>4</v>
      </c>
      <c r="H35" s="2">
        <v>22364.41</v>
      </c>
      <c r="I35" s="2" t="s">
        <v>44</v>
      </c>
      <c r="J35" s="2">
        <v>2025</v>
      </c>
    </row>
    <row r="36" spans="1:10" x14ac:dyDescent="0.3">
      <c r="A36" s="3">
        <v>45511</v>
      </c>
      <c r="B36" s="2" t="s">
        <v>85</v>
      </c>
      <c r="C36" s="2" t="s">
        <v>50</v>
      </c>
      <c r="D36" s="2" t="s">
        <v>14</v>
      </c>
      <c r="E36" s="2" t="s">
        <v>21</v>
      </c>
      <c r="F36" s="2">
        <v>8261.83</v>
      </c>
      <c r="G36" s="2">
        <v>1</v>
      </c>
      <c r="H36" s="2">
        <v>2255.3000000000002</v>
      </c>
      <c r="I36" s="2" t="s">
        <v>40</v>
      </c>
      <c r="J36" s="2">
        <v>2024</v>
      </c>
    </row>
    <row r="37" spans="1:10" x14ac:dyDescent="0.3">
      <c r="A37" s="3">
        <v>45663</v>
      </c>
      <c r="B37" s="2" t="s">
        <v>86</v>
      </c>
      <c r="C37" s="2" t="s">
        <v>28</v>
      </c>
      <c r="D37" s="2" t="s">
        <v>24</v>
      </c>
      <c r="E37" s="2" t="s">
        <v>37</v>
      </c>
      <c r="F37" s="2">
        <v>2371.3200000000002</v>
      </c>
      <c r="G37" s="2">
        <v>1</v>
      </c>
      <c r="H37" s="2">
        <v>248.51</v>
      </c>
      <c r="I37" s="2" t="s">
        <v>61</v>
      </c>
      <c r="J37" s="2">
        <v>2025</v>
      </c>
    </row>
    <row r="38" spans="1:10" x14ac:dyDescent="0.3">
      <c r="A38" s="3">
        <v>45617</v>
      </c>
      <c r="B38" s="2" t="s">
        <v>87</v>
      </c>
      <c r="C38" s="2" t="s">
        <v>82</v>
      </c>
      <c r="D38" s="2" t="s">
        <v>9</v>
      </c>
      <c r="E38" s="2" t="s">
        <v>29</v>
      </c>
      <c r="F38" s="2">
        <v>4646.99</v>
      </c>
      <c r="G38" s="2">
        <v>2</v>
      </c>
      <c r="H38" s="2">
        <v>351.32</v>
      </c>
      <c r="I38" s="2" t="s">
        <v>47</v>
      </c>
      <c r="J38" s="2">
        <v>2024</v>
      </c>
    </row>
    <row r="39" spans="1:10" x14ac:dyDescent="0.3">
      <c r="A39" s="3">
        <v>45588</v>
      </c>
      <c r="B39" s="2" t="s">
        <v>88</v>
      </c>
      <c r="C39" s="2" t="s">
        <v>59</v>
      </c>
      <c r="D39" s="2" t="s">
        <v>14</v>
      </c>
      <c r="E39" s="2" t="s">
        <v>75</v>
      </c>
      <c r="F39" s="2">
        <v>78230.720000000001</v>
      </c>
      <c r="G39" s="2">
        <v>9</v>
      </c>
      <c r="H39" s="2">
        <v>10236.19</v>
      </c>
      <c r="I39" s="2" t="s">
        <v>22</v>
      </c>
      <c r="J39" s="2">
        <v>2024</v>
      </c>
    </row>
    <row r="40" spans="1:10" x14ac:dyDescent="0.3">
      <c r="A40" s="3">
        <v>45752</v>
      </c>
      <c r="B40" s="2" t="s">
        <v>89</v>
      </c>
      <c r="C40" s="2" t="s">
        <v>46</v>
      </c>
      <c r="D40" s="2" t="s">
        <v>9</v>
      </c>
      <c r="E40" s="2" t="s">
        <v>10</v>
      </c>
      <c r="F40" s="2">
        <v>99196.32</v>
      </c>
      <c r="G40" s="2">
        <v>3</v>
      </c>
      <c r="H40" s="2">
        <v>18179.349999999999</v>
      </c>
      <c r="I40" s="2" t="s">
        <v>19</v>
      </c>
      <c r="J40" s="2">
        <v>2025</v>
      </c>
    </row>
    <row r="41" spans="1:10" x14ac:dyDescent="0.3">
      <c r="A41" s="3">
        <v>45599</v>
      </c>
      <c r="B41" s="2" t="s">
        <v>90</v>
      </c>
      <c r="C41" s="2" t="s">
        <v>64</v>
      </c>
      <c r="D41" s="2" t="s">
        <v>14</v>
      </c>
      <c r="E41" s="2" t="s">
        <v>21</v>
      </c>
      <c r="F41" s="2">
        <v>80054.59</v>
      </c>
      <c r="G41" s="2">
        <v>4</v>
      </c>
      <c r="H41" s="2">
        <v>16357.83</v>
      </c>
      <c r="I41" s="2" t="s">
        <v>47</v>
      </c>
      <c r="J41" s="2">
        <v>2024</v>
      </c>
    </row>
    <row r="42" spans="1:10" x14ac:dyDescent="0.3">
      <c r="A42" s="3">
        <v>45796</v>
      </c>
      <c r="B42" s="2" t="s">
        <v>91</v>
      </c>
      <c r="C42" s="2" t="s">
        <v>54</v>
      </c>
      <c r="D42" s="2" t="s">
        <v>14</v>
      </c>
      <c r="E42" s="2" t="s">
        <v>21</v>
      </c>
      <c r="F42" s="2">
        <v>97195.08</v>
      </c>
      <c r="G42" s="2">
        <v>8</v>
      </c>
      <c r="H42" s="2">
        <v>13740.31</v>
      </c>
      <c r="I42" s="2" t="s">
        <v>11</v>
      </c>
      <c r="J42" s="2">
        <v>2025</v>
      </c>
    </row>
    <row r="43" spans="1:10" x14ac:dyDescent="0.3">
      <c r="A43" s="3">
        <v>45720</v>
      </c>
      <c r="B43" s="2" t="s">
        <v>92</v>
      </c>
      <c r="C43" s="2" t="s">
        <v>82</v>
      </c>
      <c r="D43" s="2" t="s">
        <v>14</v>
      </c>
      <c r="E43" s="2" t="s">
        <v>15</v>
      </c>
      <c r="F43" s="2">
        <v>44236.12</v>
      </c>
      <c r="G43" s="2">
        <v>7</v>
      </c>
      <c r="H43" s="2">
        <v>7176.67</v>
      </c>
      <c r="I43" s="2" t="s">
        <v>68</v>
      </c>
      <c r="J43" s="2">
        <v>2025</v>
      </c>
    </row>
    <row r="44" spans="1:10" x14ac:dyDescent="0.3">
      <c r="A44" s="3">
        <v>45026</v>
      </c>
      <c r="B44" s="2" t="s">
        <v>93</v>
      </c>
      <c r="C44" s="2" t="s">
        <v>13</v>
      </c>
      <c r="D44" s="2" t="s">
        <v>24</v>
      </c>
      <c r="E44" s="2" t="s">
        <v>25</v>
      </c>
      <c r="F44" s="2">
        <v>94958.12</v>
      </c>
      <c r="G44" s="2">
        <v>3</v>
      </c>
      <c r="H44" s="2">
        <v>8466.25</v>
      </c>
      <c r="I44" s="2" t="s">
        <v>19</v>
      </c>
      <c r="J44" s="2">
        <v>2023</v>
      </c>
    </row>
    <row r="45" spans="1:10" x14ac:dyDescent="0.3">
      <c r="A45" s="3">
        <v>45595</v>
      </c>
      <c r="B45" s="2" t="s">
        <v>94</v>
      </c>
      <c r="C45" s="2" t="s">
        <v>46</v>
      </c>
      <c r="D45" s="2" t="s">
        <v>24</v>
      </c>
      <c r="E45" s="2" t="s">
        <v>37</v>
      </c>
      <c r="F45" s="2">
        <v>95326.34</v>
      </c>
      <c r="G45" s="2">
        <v>6</v>
      </c>
      <c r="H45" s="2">
        <v>20621.98</v>
      </c>
      <c r="I45" s="2" t="s">
        <v>22</v>
      </c>
      <c r="J45" s="2">
        <v>2024</v>
      </c>
    </row>
    <row r="46" spans="1:10" x14ac:dyDescent="0.3">
      <c r="A46" s="3">
        <v>45839</v>
      </c>
      <c r="B46" s="2" t="s">
        <v>95</v>
      </c>
      <c r="C46" s="2" t="s">
        <v>39</v>
      </c>
      <c r="D46" s="2" t="s">
        <v>14</v>
      </c>
      <c r="E46" s="2" t="s">
        <v>57</v>
      </c>
      <c r="F46" s="2">
        <v>14491.37</v>
      </c>
      <c r="G46" s="2">
        <v>6</v>
      </c>
      <c r="H46" s="2">
        <v>2087.89</v>
      </c>
      <c r="I46" s="2" t="s">
        <v>26</v>
      </c>
      <c r="J46" s="2">
        <v>2025</v>
      </c>
    </row>
    <row r="47" spans="1:10" x14ac:dyDescent="0.3">
      <c r="A47" s="3">
        <v>45625</v>
      </c>
      <c r="B47" s="2" t="s">
        <v>96</v>
      </c>
      <c r="C47" s="2" t="s">
        <v>64</v>
      </c>
      <c r="D47" s="2" t="s">
        <v>24</v>
      </c>
      <c r="E47" s="2" t="s">
        <v>25</v>
      </c>
      <c r="F47" s="2">
        <v>84077.03</v>
      </c>
      <c r="G47" s="2">
        <v>9</v>
      </c>
      <c r="H47" s="2">
        <v>10539.26</v>
      </c>
      <c r="I47" s="2" t="s">
        <v>47</v>
      </c>
      <c r="J47" s="2">
        <v>2024</v>
      </c>
    </row>
    <row r="48" spans="1:10" x14ac:dyDescent="0.3">
      <c r="A48" s="3">
        <v>45786</v>
      </c>
      <c r="B48" s="2" t="s">
        <v>97</v>
      </c>
      <c r="C48" s="2" t="s">
        <v>39</v>
      </c>
      <c r="D48" s="2" t="s">
        <v>14</v>
      </c>
      <c r="E48" s="2" t="s">
        <v>57</v>
      </c>
      <c r="F48" s="2">
        <v>12313.4</v>
      </c>
      <c r="G48" s="2">
        <v>6</v>
      </c>
      <c r="H48" s="2">
        <v>934.11</v>
      </c>
      <c r="I48" s="2" t="s">
        <v>11</v>
      </c>
      <c r="J48" s="2">
        <v>2025</v>
      </c>
    </row>
    <row r="49" spans="1:10" x14ac:dyDescent="0.3">
      <c r="A49" s="3">
        <v>45764</v>
      </c>
      <c r="B49" s="2" t="s">
        <v>98</v>
      </c>
      <c r="C49" s="2" t="s">
        <v>74</v>
      </c>
      <c r="D49" s="2" t="s">
        <v>9</v>
      </c>
      <c r="E49" s="2" t="s">
        <v>35</v>
      </c>
      <c r="F49" s="2">
        <v>43113.4</v>
      </c>
      <c r="G49" s="2">
        <v>8</v>
      </c>
      <c r="H49" s="2">
        <v>12390.65</v>
      </c>
      <c r="I49" s="2" t="s">
        <v>19</v>
      </c>
      <c r="J49" s="2">
        <v>2025</v>
      </c>
    </row>
    <row r="50" spans="1:10" x14ac:dyDescent="0.3">
      <c r="A50" s="3">
        <v>45778</v>
      </c>
      <c r="B50" s="2" t="s">
        <v>99</v>
      </c>
      <c r="C50" s="2" t="s">
        <v>46</v>
      </c>
      <c r="D50" s="2" t="s">
        <v>9</v>
      </c>
      <c r="E50" s="2" t="s">
        <v>10</v>
      </c>
      <c r="F50" s="2">
        <v>70433</v>
      </c>
      <c r="G50" s="2">
        <v>7</v>
      </c>
      <c r="H50" s="2">
        <v>18880.5</v>
      </c>
      <c r="I50" s="2" t="s">
        <v>11</v>
      </c>
      <c r="J50" s="2">
        <v>2025</v>
      </c>
    </row>
    <row r="51" spans="1:10" x14ac:dyDescent="0.3">
      <c r="A51" s="3">
        <v>45692</v>
      </c>
      <c r="B51" s="2" t="s">
        <v>100</v>
      </c>
      <c r="C51" s="2" t="s">
        <v>13</v>
      </c>
      <c r="D51" s="2" t="s">
        <v>9</v>
      </c>
      <c r="E51" s="2" t="s">
        <v>10</v>
      </c>
      <c r="F51" s="2">
        <v>83127.13</v>
      </c>
      <c r="G51" s="2">
        <v>2</v>
      </c>
      <c r="H51" s="2">
        <v>17972.61</v>
      </c>
      <c r="I51" s="2" t="s">
        <v>16</v>
      </c>
      <c r="J51" s="2">
        <v>2025</v>
      </c>
    </row>
    <row r="52" spans="1:10" x14ac:dyDescent="0.3">
      <c r="A52" s="3">
        <v>45748</v>
      </c>
      <c r="B52" s="2" t="s">
        <v>101</v>
      </c>
      <c r="C52" s="2" t="s">
        <v>18</v>
      </c>
      <c r="D52" s="2" t="s">
        <v>24</v>
      </c>
      <c r="E52" s="2" t="s">
        <v>55</v>
      </c>
      <c r="F52" s="2">
        <v>24414.3</v>
      </c>
      <c r="G52" s="2">
        <v>1</v>
      </c>
      <c r="H52" s="2">
        <v>6570.62</v>
      </c>
      <c r="I52" s="2" t="s">
        <v>19</v>
      </c>
      <c r="J52" s="2">
        <v>2025</v>
      </c>
    </row>
    <row r="53" spans="1:10" x14ac:dyDescent="0.3">
      <c r="A53" s="3">
        <v>45558</v>
      </c>
      <c r="B53" s="2" t="s">
        <v>102</v>
      </c>
      <c r="C53" s="2" t="s">
        <v>72</v>
      </c>
      <c r="D53" s="2" t="s">
        <v>9</v>
      </c>
      <c r="E53" s="2" t="s">
        <v>10</v>
      </c>
      <c r="F53" s="2">
        <v>57981.07</v>
      </c>
      <c r="G53" s="2">
        <v>3</v>
      </c>
      <c r="H53" s="2">
        <v>14923.79</v>
      </c>
      <c r="I53" s="2" t="s">
        <v>65</v>
      </c>
      <c r="J53" s="2">
        <v>2024</v>
      </c>
    </row>
    <row r="54" spans="1:10" x14ac:dyDescent="0.3">
      <c r="A54" s="3">
        <v>45684</v>
      </c>
      <c r="B54" s="2" t="s">
        <v>103</v>
      </c>
      <c r="C54" s="2" t="s">
        <v>39</v>
      </c>
      <c r="D54" s="2" t="s">
        <v>9</v>
      </c>
      <c r="E54" s="2" t="s">
        <v>10</v>
      </c>
      <c r="F54" s="2">
        <v>71901.119999999995</v>
      </c>
      <c r="G54" s="2">
        <v>8</v>
      </c>
      <c r="H54" s="2">
        <v>15746.88</v>
      </c>
      <c r="I54" s="2" t="s">
        <v>61</v>
      </c>
      <c r="J54" s="2">
        <v>2025</v>
      </c>
    </row>
    <row r="55" spans="1:10" x14ac:dyDescent="0.3">
      <c r="A55" s="3">
        <v>45563</v>
      </c>
      <c r="B55" s="2" t="s">
        <v>104</v>
      </c>
      <c r="C55" s="2" t="s">
        <v>105</v>
      </c>
      <c r="D55" s="2" t="s">
        <v>9</v>
      </c>
      <c r="E55" s="2" t="s">
        <v>10</v>
      </c>
      <c r="F55" s="2">
        <v>42620.160000000003</v>
      </c>
      <c r="G55" s="2">
        <v>9</v>
      </c>
      <c r="H55" s="2">
        <v>11535.22</v>
      </c>
      <c r="I55" s="2" t="s">
        <v>65</v>
      </c>
      <c r="J55" s="2">
        <v>2024</v>
      </c>
    </row>
    <row r="56" spans="1:10" x14ac:dyDescent="0.3">
      <c r="A56" s="3">
        <v>45607</v>
      </c>
      <c r="B56" s="2" t="s">
        <v>106</v>
      </c>
      <c r="C56" s="2" t="s">
        <v>54</v>
      </c>
      <c r="D56" s="2" t="s">
        <v>14</v>
      </c>
      <c r="E56" s="2" t="s">
        <v>21</v>
      </c>
      <c r="F56" s="2">
        <v>74758.990000000005</v>
      </c>
      <c r="G56" s="2">
        <v>7</v>
      </c>
      <c r="H56" s="2">
        <v>7081.53</v>
      </c>
      <c r="I56" s="2" t="s">
        <v>47</v>
      </c>
      <c r="J56" s="2">
        <v>2024</v>
      </c>
    </row>
    <row r="57" spans="1:10" x14ac:dyDescent="0.3">
      <c r="A57" s="3">
        <v>45665</v>
      </c>
      <c r="B57" s="2" t="s">
        <v>107</v>
      </c>
      <c r="C57" s="2" t="s">
        <v>72</v>
      </c>
      <c r="D57" s="2" t="s">
        <v>24</v>
      </c>
      <c r="E57" s="2" t="s">
        <v>25</v>
      </c>
      <c r="F57" s="2">
        <v>74900.759999999995</v>
      </c>
      <c r="G57" s="2">
        <v>9</v>
      </c>
      <c r="H57" s="2">
        <v>10056.790000000001</v>
      </c>
      <c r="I57" s="2" t="s">
        <v>61</v>
      </c>
      <c r="J57" s="2">
        <v>2025</v>
      </c>
    </row>
    <row r="58" spans="1:10" x14ac:dyDescent="0.3">
      <c r="A58" s="3">
        <v>45629</v>
      </c>
      <c r="B58" s="2" t="s">
        <v>108</v>
      </c>
      <c r="C58" s="2" t="s">
        <v>64</v>
      </c>
      <c r="D58" s="2" t="s">
        <v>14</v>
      </c>
      <c r="E58" s="2" t="s">
        <v>75</v>
      </c>
      <c r="F58" s="2">
        <v>92363.64</v>
      </c>
      <c r="G58" s="2">
        <v>6</v>
      </c>
      <c r="H58" s="2">
        <v>9028.8700000000008</v>
      </c>
      <c r="I58" s="2" t="s">
        <v>30</v>
      </c>
      <c r="J58" s="2">
        <v>2024</v>
      </c>
    </row>
    <row r="59" spans="1:10" x14ac:dyDescent="0.3">
      <c r="A59" s="3">
        <v>45510</v>
      </c>
      <c r="B59" s="2" t="s">
        <v>109</v>
      </c>
      <c r="C59" s="2" t="s">
        <v>28</v>
      </c>
      <c r="D59" s="2" t="s">
        <v>9</v>
      </c>
      <c r="E59" s="2" t="s">
        <v>10</v>
      </c>
      <c r="F59" s="2">
        <v>58243.26</v>
      </c>
      <c r="G59" s="2">
        <v>5</v>
      </c>
      <c r="H59" s="2">
        <v>6874.06</v>
      </c>
      <c r="I59" s="2" t="s">
        <v>40</v>
      </c>
      <c r="J59" s="2">
        <v>2024</v>
      </c>
    </row>
    <row r="60" spans="1:10" x14ac:dyDescent="0.3">
      <c r="A60" s="3">
        <v>45555</v>
      </c>
      <c r="B60" s="2" t="s">
        <v>110</v>
      </c>
      <c r="C60" s="2" t="s">
        <v>50</v>
      </c>
      <c r="D60" s="2" t="s">
        <v>24</v>
      </c>
      <c r="E60" s="2" t="s">
        <v>25</v>
      </c>
      <c r="F60" s="2">
        <v>11337.33</v>
      </c>
      <c r="G60" s="2">
        <v>1</v>
      </c>
      <c r="H60" s="2">
        <v>2065.85</v>
      </c>
      <c r="I60" s="2" t="s">
        <v>65</v>
      </c>
      <c r="J60" s="2">
        <v>2024</v>
      </c>
    </row>
    <row r="61" spans="1:10" x14ac:dyDescent="0.3">
      <c r="A61" s="3">
        <v>45580</v>
      </c>
      <c r="B61" s="2" t="s">
        <v>111</v>
      </c>
      <c r="C61" s="2" t="s">
        <v>59</v>
      </c>
      <c r="D61" s="2" t="s">
        <v>14</v>
      </c>
      <c r="E61" s="2" t="s">
        <v>75</v>
      </c>
      <c r="F61" s="2">
        <v>50890.44</v>
      </c>
      <c r="G61" s="2">
        <v>3</v>
      </c>
      <c r="H61" s="2">
        <v>14425.39</v>
      </c>
      <c r="I61" s="2" t="s">
        <v>22</v>
      </c>
      <c r="J61" s="2">
        <v>2024</v>
      </c>
    </row>
    <row r="62" spans="1:10" x14ac:dyDescent="0.3">
      <c r="A62" s="3">
        <v>45807</v>
      </c>
      <c r="B62" s="2" t="s">
        <v>112</v>
      </c>
      <c r="C62" s="2" t="s">
        <v>84</v>
      </c>
      <c r="D62" s="2" t="s">
        <v>14</v>
      </c>
      <c r="E62" s="2" t="s">
        <v>21</v>
      </c>
      <c r="F62" s="2">
        <v>2999.56</v>
      </c>
      <c r="G62" s="2">
        <v>4</v>
      </c>
      <c r="H62" s="2">
        <v>406.89</v>
      </c>
      <c r="I62" s="2" t="s">
        <v>11</v>
      </c>
      <c r="J62" s="2">
        <v>2025</v>
      </c>
    </row>
    <row r="63" spans="1:10" x14ac:dyDescent="0.3">
      <c r="A63" s="3">
        <v>45534</v>
      </c>
      <c r="B63" s="2" t="s">
        <v>113</v>
      </c>
      <c r="C63" s="2" t="s">
        <v>50</v>
      </c>
      <c r="D63" s="2" t="s">
        <v>24</v>
      </c>
      <c r="E63" s="2" t="s">
        <v>25</v>
      </c>
      <c r="F63" s="2">
        <v>83977.27</v>
      </c>
      <c r="G63" s="2">
        <v>1</v>
      </c>
      <c r="H63" s="2">
        <v>7789.65</v>
      </c>
      <c r="I63" s="2" t="s">
        <v>40</v>
      </c>
      <c r="J63" s="2">
        <v>2024</v>
      </c>
    </row>
    <row r="64" spans="1:10" x14ac:dyDescent="0.3">
      <c r="A64" s="3">
        <v>45604</v>
      </c>
      <c r="B64" s="2" t="s">
        <v>114</v>
      </c>
      <c r="C64" s="2" t="s">
        <v>105</v>
      </c>
      <c r="D64" s="2" t="s">
        <v>24</v>
      </c>
      <c r="E64" s="2" t="s">
        <v>55</v>
      </c>
      <c r="F64" s="2">
        <v>2258.23</v>
      </c>
      <c r="G64" s="2">
        <v>3</v>
      </c>
      <c r="H64" s="2">
        <v>549.09</v>
      </c>
      <c r="I64" s="2" t="s">
        <v>47</v>
      </c>
      <c r="J64" s="2">
        <v>2024</v>
      </c>
    </row>
    <row r="65" spans="1:10" x14ac:dyDescent="0.3">
      <c r="A65" s="3">
        <v>45839</v>
      </c>
      <c r="B65" s="2" t="s">
        <v>115</v>
      </c>
      <c r="C65" s="2" t="s">
        <v>74</v>
      </c>
      <c r="D65" s="2" t="s">
        <v>24</v>
      </c>
      <c r="E65" s="2" t="s">
        <v>70</v>
      </c>
      <c r="F65" s="2">
        <v>95268.12</v>
      </c>
      <c r="G65" s="2">
        <v>7</v>
      </c>
      <c r="H65" s="2">
        <v>11736.29</v>
      </c>
      <c r="I65" s="2" t="s">
        <v>26</v>
      </c>
      <c r="J65" s="2">
        <v>2025</v>
      </c>
    </row>
    <row r="66" spans="1:10" x14ac:dyDescent="0.3">
      <c r="A66" s="3">
        <v>45554</v>
      </c>
      <c r="B66" s="2" t="s">
        <v>116</v>
      </c>
      <c r="C66" s="2" t="s">
        <v>64</v>
      </c>
      <c r="D66" s="2" t="s">
        <v>14</v>
      </c>
      <c r="E66" s="2" t="s">
        <v>21</v>
      </c>
      <c r="F66" s="2">
        <v>42367.19</v>
      </c>
      <c r="G66" s="2">
        <v>10</v>
      </c>
      <c r="H66" s="2">
        <v>5875.5</v>
      </c>
      <c r="I66" s="2" t="s">
        <v>65</v>
      </c>
      <c r="J66" s="2">
        <v>2024</v>
      </c>
    </row>
    <row r="67" spans="1:10" x14ac:dyDescent="0.3">
      <c r="A67" s="3">
        <v>45544</v>
      </c>
      <c r="B67" s="2" t="s">
        <v>117</v>
      </c>
      <c r="C67" s="2" t="s">
        <v>34</v>
      </c>
      <c r="D67" s="2" t="s">
        <v>9</v>
      </c>
      <c r="E67" s="2" t="s">
        <v>10</v>
      </c>
      <c r="F67" s="2">
        <v>22099.86</v>
      </c>
      <c r="G67" s="2">
        <v>3</v>
      </c>
      <c r="H67" s="2">
        <v>1449.35</v>
      </c>
      <c r="I67" s="2" t="s">
        <v>65</v>
      </c>
      <c r="J67" s="2">
        <v>2024</v>
      </c>
    </row>
    <row r="68" spans="1:10" x14ac:dyDescent="0.3">
      <c r="A68" s="3">
        <v>45793</v>
      </c>
      <c r="B68" s="2" t="s">
        <v>118</v>
      </c>
      <c r="C68" s="2" t="s">
        <v>46</v>
      </c>
      <c r="D68" s="2" t="s">
        <v>14</v>
      </c>
      <c r="E68" s="2" t="s">
        <v>57</v>
      </c>
      <c r="F68" s="2">
        <v>92656.33</v>
      </c>
      <c r="G68" s="2">
        <v>9</v>
      </c>
      <c r="H68" s="2">
        <v>13724.13</v>
      </c>
      <c r="I68" s="2" t="s">
        <v>11</v>
      </c>
      <c r="J68" s="2">
        <v>2025</v>
      </c>
    </row>
    <row r="69" spans="1:10" x14ac:dyDescent="0.3">
      <c r="A69" s="3">
        <v>45635</v>
      </c>
      <c r="B69" s="2" t="s">
        <v>119</v>
      </c>
      <c r="C69" s="2" t="s">
        <v>32</v>
      </c>
      <c r="D69" s="2" t="s">
        <v>9</v>
      </c>
      <c r="E69" s="2" t="s">
        <v>10</v>
      </c>
      <c r="F69" s="2">
        <v>40878.51</v>
      </c>
      <c r="G69" s="2">
        <v>9</v>
      </c>
      <c r="H69" s="2">
        <v>11467.02</v>
      </c>
      <c r="I69" s="2" t="s">
        <v>30</v>
      </c>
      <c r="J69" s="2">
        <v>2024</v>
      </c>
    </row>
    <row r="70" spans="1:10" x14ac:dyDescent="0.3">
      <c r="A70" s="3">
        <v>45716</v>
      </c>
      <c r="B70" s="2" t="s">
        <v>120</v>
      </c>
      <c r="C70" s="2" t="s">
        <v>64</v>
      </c>
      <c r="D70" s="2" t="s">
        <v>9</v>
      </c>
      <c r="E70" s="2" t="s">
        <v>29</v>
      </c>
      <c r="F70" s="2">
        <v>90122.81</v>
      </c>
      <c r="G70" s="2">
        <v>5</v>
      </c>
      <c r="H70" s="2">
        <v>14881.61</v>
      </c>
      <c r="I70" s="2" t="s">
        <v>16</v>
      </c>
      <c r="J70" s="2">
        <v>2025</v>
      </c>
    </row>
    <row r="71" spans="1:10" x14ac:dyDescent="0.3">
      <c r="A71" s="3">
        <v>45533</v>
      </c>
      <c r="B71" s="2" t="s">
        <v>121</v>
      </c>
      <c r="C71" s="2" t="s">
        <v>74</v>
      </c>
      <c r="D71" s="2" t="s">
        <v>24</v>
      </c>
      <c r="E71" s="2" t="s">
        <v>55</v>
      </c>
      <c r="F71" s="2">
        <v>29874.57</v>
      </c>
      <c r="G71" s="2">
        <v>8</v>
      </c>
      <c r="H71" s="2">
        <v>8613.51</v>
      </c>
      <c r="I71" s="2" t="s">
        <v>40</v>
      </c>
      <c r="J71" s="2">
        <v>2024</v>
      </c>
    </row>
    <row r="72" spans="1:10" x14ac:dyDescent="0.3">
      <c r="A72" s="3">
        <v>45628</v>
      </c>
      <c r="B72" s="2" t="s">
        <v>122</v>
      </c>
      <c r="C72" s="2" t="s">
        <v>13</v>
      </c>
      <c r="D72" s="2" t="s">
        <v>24</v>
      </c>
      <c r="E72" s="2" t="s">
        <v>25</v>
      </c>
      <c r="F72" s="2">
        <v>4704.24</v>
      </c>
      <c r="G72" s="2">
        <v>10</v>
      </c>
      <c r="H72" s="2">
        <v>1163.0999999999999</v>
      </c>
      <c r="I72" s="2" t="s">
        <v>30</v>
      </c>
      <c r="J72" s="2">
        <v>2024</v>
      </c>
    </row>
    <row r="73" spans="1:10" x14ac:dyDescent="0.3">
      <c r="A73" s="3">
        <v>45784</v>
      </c>
      <c r="B73" s="2" t="s">
        <v>123</v>
      </c>
      <c r="C73" s="2" t="s">
        <v>105</v>
      </c>
      <c r="D73" s="2" t="s">
        <v>24</v>
      </c>
      <c r="E73" s="2" t="s">
        <v>55</v>
      </c>
      <c r="F73" s="2">
        <v>81646.37</v>
      </c>
      <c r="G73" s="2">
        <v>5</v>
      </c>
      <c r="H73" s="2">
        <v>12887.24</v>
      </c>
      <c r="I73" s="2" t="s">
        <v>11</v>
      </c>
      <c r="J73" s="2">
        <v>2025</v>
      </c>
    </row>
    <row r="74" spans="1:10" x14ac:dyDescent="0.3">
      <c r="A74" s="3">
        <v>45636</v>
      </c>
      <c r="B74" s="2" t="s">
        <v>124</v>
      </c>
      <c r="C74" s="2" t="s">
        <v>8</v>
      </c>
      <c r="D74" s="2" t="s">
        <v>24</v>
      </c>
      <c r="E74" s="2" t="s">
        <v>25</v>
      </c>
      <c r="F74" s="2">
        <v>89536.99</v>
      </c>
      <c r="G74" s="2">
        <v>10</v>
      </c>
      <c r="H74" s="2">
        <v>21693.57</v>
      </c>
      <c r="I74" s="2" t="s">
        <v>30</v>
      </c>
      <c r="J74" s="2">
        <v>2024</v>
      </c>
    </row>
    <row r="75" spans="1:10" x14ac:dyDescent="0.3">
      <c r="A75" s="3">
        <v>45654</v>
      </c>
      <c r="B75" s="2" t="s">
        <v>125</v>
      </c>
      <c r="C75" s="2" t="s">
        <v>84</v>
      </c>
      <c r="D75" s="2" t="s">
        <v>24</v>
      </c>
      <c r="E75" s="2" t="s">
        <v>70</v>
      </c>
      <c r="F75" s="2">
        <v>39021.54</v>
      </c>
      <c r="G75" s="2">
        <v>3</v>
      </c>
      <c r="H75" s="2">
        <v>2738.8</v>
      </c>
      <c r="I75" s="2" t="s">
        <v>30</v>
      </c>
      <c r="J75" s="2">
        <v>2024</v>
      </c>
    </row>
    <row r="76" spans="1:10" x14ac:dyDescent="0.3">
      <c r="A76" s="3">
        <v>45771</v>
      </c>
      <c r="B76" s="2" t="s">
        <v>126</v>
      </c>
      <c r="C76" s="2" t="s">
        <v>105</v>
      </c>
      <c r="D76" s="2" t="s">
        <v>9</v>
      </c>
      <c r="E76" s="2" t="s">
        <v>43</v>
      </c>
      <c r="F76" s="2">
        <v>45366.57</v>
      </c>
      <c r="G76" s="2">
        <v>1</v>
      </c>
      <c r="H76" s="2">
        <v>7506.49</v>
      </c>
      <c r="I76" s="2" t="s">
        <v>19</v>
      </c>
      <c r="J76" s="2">
        <v>2025</v>
      </c>
    </row>
    <row r="77" spans="1:10" x14ac:dyDescent="0.3">
      <c r="A77" s="3">
        <v>45618</v>
      </c>
      <c r="B77" s="2" t="s">
        <v>127</v>
      </c>
      <c r="C77" s="2" t="s">
        <v>54</v>
      </c>
      <c r="D77" s="2" t="s">
        <v>14</v>
      </c>
      <c r="E77" s="2" t="s">
        <v>15</v>
      </c>
      <c r="F77" s="2">
        <v>76289.78</v>
      </c>
      <c r="G77" s="2">
        <v>6</v>
      </c>
      <c r="H77" s="2">
        <v>13838.15</v>
      </c>
      <c r="I77" s="2" t="s">
        <v>47</v>
      </c>
      <c r="J77" s="2">
        <v>2024</v>
      </c>
    </row>
    <row r="78" spans="1:10" x14ac:dyDescent="0.3">
      <c r="A78" s="3">
        <v>45672</v>
      </c>
      <c r="B78" s="2" t="s">
        <v>128</v>
      </c>
      <c r="C78" s="2" t="s">
        <v>32</v>
      </c>
      <c r="D78" s="2" t="s">
        <v>14</v>
      </c>
      <c r="E78" s="2" t="s">
        <v>57</v>
      </c>
      <c r="F78" s="2">
        <v>81497.149999999994</v>
      </c>
      <c r="G78" s="2">
        <v>7</v>
      </c>
      <c r="H78" s="2">
        <v>8814.8799999999992</v>
      </c>
      <c r="I78" s="2" t="s">
        <v>61</v>
      </c>
      <c r="J78" s="2">
        <v>2025</v>
      </c>
    </row>
    <row r="79" spans="1:10" x14ac:dyDescent="0.3">
      <c r="A79" s="3">
        <v>45770</v>
      </c>
      <c r="B79" s="2" t="s">
        <v>129</v>
      </c>
      <c r="C79" s="2" t="s">
        <v>72</v>
      </c>
      <c r="D79" s="2" t="s">
        <v>24</v>
      </c>
      <c r="E79" s="2" t="s">
        <v>25</v>
      </c>
      <c r="F79" s="2">
        <v>60608.11</v>
      </c>
      <c r="G79" s="2">
        <v>10</v>
      </c>
      <c r="H79" s="2">
        <v>12557.12</v>
      </c>
      <c r="I79" s="2" t="s">
        <v>19</v>
      </c>
      <c r="J79" s="2">
        <v>2025</v>
      </c>
    </row>
    <row r="80" spans="1:10" x14ac:dyDescent="0.3">
      <c r="A80" s="3">
        <v>45721</v>
      </c>
      <c r="B80" s="2" t="s">
        <v>130</v>
      </c>
      <c r="C80" s="2" t="s">
        <v>32</v>
      </c>
      <c r="D80" s="2" t="s">
        <v>24</v>
      </c>
      <c r="E80" s="2" t="s">
        <v>25</v>
      </c>
      <c r="F80" s="2">
        <v>41733.94</v>
      </c>
      <c r="G80" s="2">
        <v>2</v>
      </c>
      <c r="H80" s="2">
        <v>11556.45</v>
      </c>
      <c r="I80" s="2" t="s">
        <v>68</v>
      </c>
      <c r="J80" s="2">
        <v>2025</v>
      </c>
    </row>
    <row r="81" spans="1:10" x14ac:dyDescent="0.3">
      <c r="A81" s="3">
        <v>45666</v>
      </c>
      <c r="B81" s="2" t="s">
        <v>131</v>
      </c>
      <c r="C81" s="2" t="s">
        <v>54</v>
      </c>
      <c r="D81" s="2" t="s">
        <v>9</v>
      </c>
      <c r="E81" s="2" t="s">
        <v>29</v>
      </c>
      <c r="F81" s="2">
        <v>79913.820000000007</v>
      </c>
      <c r="G81" s="2">
        <v>10</v>
      </c>
      <c r="H81" s="2">
        <v>10138.780000000001</v>
      </c>
      <c r="I81" s="2" t="s">
        <v>61</v>
      </c>
      <c r="J81" s="2">
        <v>2025</v>
      </c>
    </row>
    <row r="82" spans="1:10" x14ac:dyDescent="0.3">
      <c r="A82" s="3">
        <v>45585</v>
      </c>
      <c r="B82" s="2" t="s">
        <v>132</v>
      </c>
      <c r="C82" s="2" t="s">
        <v>42</v>
      </c>
      <c r="D82" s="2" t="s">
        <v>24</v>
      </c>
      <c r="E82" s="2" t="s">
        <v>37</v>
      </c>
      <c r="F82" s="2">
        <v>95719.47</v>
      </c>
      <c r="G82" s="2">
        <v>8</v>
      </c>
      <c r="H82" s="2">
        <v>6309.45</v>
      </c>
      <c r="I82" s="2" t="s">
        <v>22</v>
      </c>
      <c r="J82" s="2">
        <v>2024</v>
      </c>
    </row>
    <row r="83" spans="1:10" x14ac:dyDescent="0.3">
      <c r="A83" s="3">
        <v>45539</v>
      </c>
      <c r="B83" s="2" t="s">
        <v>133</v>
      </c>
      <c r="C83" s="2" t="s">
        <v>82</v>
      </c>
      <c r="D83" s="2" t="s">
        <v>24</v>
      </c>
      <c r="E83" s="2" t="s">
        <v>37</v>
      </c>
      <c r="F83" s="2">
        <v>22160.15</v>
      </c>
      <c r="G83" s="2">
        <v>3</v>
      </c>
      <c r="H83" s="2">
        <v>2926.64</v>
      </c>
      <c r="I83" s="2" t="s">
        <v>65</v>
      </c>
      <c r="J83" s="2">
        <v>2024</v>
      </c>
    </row>
    <row r="84" spans="1:10" x14ac:dyDescent="0.3">
      <c r="A84" s="3">
        <v>45647</v>
      </c>
      <c r="B84" s="2" t="s">
        <v>134</v>
      </c>
      <c r="C84" s="2" t="s">
        <v>8</v>
      </c>
      <c r="D84" s="2" t="s">
        <v>9</v>
      </c>
      <c r="E84" s="2" t="s">
        <v>10</v>
      </c>
      <c r="F84" s="2">
        <v>44322.73</v>
      </c>
      <c r="G84" s="2">
        <v>5</v>
      </c>
      <c r="H84" s="2">
        <v>11044.25</v>
      </c>
      <c r="I84" s="2" t="s">
        <v>30</v>
      </c>
      <c r="J84" s="2">
        <v>2024</v>
      </c>
    </row>
    <row r="85" spans="1:10" x14ac:dyDescent="0.3">
      <c r="A85" s="3">
        <v>45640</v>
      </c>
      <c r="B85" s="2" t="s">
        <v>135</v>
      </c>
      <c r="C85" s="2" t="s">
        <v>39</v>
      </c>
      <c r="D85" s="2" t="s">
        <v>9</v>
      </c>
      <c r="E85" s="2" t="s">
        <v>10</v>
      </c>
      <c r="F85" s="2">
        <v>8916.2999999999993</v>
      </c>
      <c r="G85" s="2">
        <v>3</v>
      </c>
      <c r="H85" s="2">
        <v>1246.8599999999999</v>
      </c>
      <c r="I85" s="2" t="s">
        <v>30</v>
      </c>
      <c r="J85" s="2">
        <v>2024</v>
      </c>
    </row>
    <row r="86" spans="1:10" x14ac:dyDescent="0.3">
      <c r="A86" s="3">
        <v>45505</v>
      </c>
      <c r="B86" s="2" t="s">
        <v>136</v>
      </c>
      <c r="C86" s="2" t="s">
        <v>72</v>
      </c>
      <c r="D86" s="2" t="s">
        <v>14</v>
      </c>
      <c r="E86" s="2" t="s">
        <v>15</v>
      </c>
      <c r="F86" s="2">
        <v>34466.949999999997</v>
      </c>
      <c r="G86" s="2">
        <v>8</v>
      </c>
      <c r="H86" s="2">
        <v>7976.42</v>
      </c>
      <c r="I86" s="2" t="s">
        <v>40</v>
      </c>
      <c r="J86" s="2">
        <v>2024</v>
      </c>
    </row>
    <row r="87" spans="1:10" x14ac:dyDescent="0.3">
      <c r="A87" s="3">
        <v>45761</v>
      </c>
      <c r="B87" s="2" t="s">
        <v>137</v>
      </c>
      <c r="C87" s="2" t="s">
        <v>84</v>
      </c>
      <c r="D87" s="2" t="s">
        <v>9</v>
      </c>
      <c r="E87" s="2" t="s">
        <v>35</v>
      </c>
      <c r="F87" s="2">
        <v>47310.94</v>
      </c>
      <c r="G87" s="2">
        <v>6</v>
      </c>
      <c r="H87" s="2">
        <v>3614.21</v>
      </c>
      <c r="I87" s="2" t="s">
        <v>19</v>
      </c>
      <c r="J87" s="2">
        <v>2025</v>
      </c>
    </row>
    <row r="88" spans="1:10" x14ac:dyDescent="0.3">
      <c r="A88" s="3">
        <v>45631</v>
      </c>
      <c r="B88" s="2" t="s">
        <v>138</v>
      </c>
      <c r="C88" s="2" t="s">
        <v>46</v>
      </c>
      <c r="D88" s="2" t="s">
        <v>24</v>
      </c>
      <c r="E88" s="2" t="s">
        <v>37</v>
      </c>
      <c r="F88" s="2">
        <v>12082.08</v>
      </c>
      <c r="G88" s="2">
        <v>4</v>
      </c>
      <c r="H88" s="2">
        <v>3483.59</v>
      </c>
      <c r="I88" s="2" t="s">
        <v>30</v>
      </c>
      <c r="J88" s="2">
        <v>2024</v>
      </c>
    </row>
    <row r="89" spans="1:10" x14ac:dyDescent="0.3">
      <c r="A89" s="3">
        <v>45776</v>
      </c>
      <c r="B89" s="2" t="s">
        <v>139</v>
      </c>
      <c r="C89" s="2" t="s">
        <v>13</v>
      </c>
      <c r="D89" s="2" t="s">
        <v>14</v>
      </c>
      <c r="E89" s="2" t="s">
        <v>21</v>
      </c>
      <c r="F89" s="2">
        <v>28556.82</v>
      </c>
      <c r="G89" s="2">
        <v>5</v>
      </c>
      <c r="H89" s="2">
        <v>3655</v>
      </c>
      <c r="I89" s="2" t="s">
        <v>19</v>
      </c>
      <c r="J89" s="2">
        <v>2025</v>
      </c>
    </row>
    <row r="90" spans="1:10" x14ac:dyDescent="0.3">
      <c r="A90" s="3">
        <v>45668</v>
      </c>
      <c r="B90" s="2" t="s">
        <v>140</v>
      </c>
      <c r="C90" s="2" t="s">
        <v>72</v>
      </c>
      <c r="D90" s="2" t="s">
        <v>9</v>
      </c>
      <c r="E90" s="2" t="s">
        <v>35</v>
      </c>
      <c r="F90" s="2">
        <v>13531.44</v>
      </c>
      <c r="G90" s="2">
        <v>1</v>
      </c>
      <c r="H90" s="2">
        <v>2759.17</v>
      </c>
      <c r="I90" s="2" t="s">
        <v>61</v>
      </c>
      <c r="J90" s="2">
        <v>2025</v>
      </c>
    </row>
    <row r="91" spans="1:10" x14ac:dyDescent="0.3">
      <c r="A91" s="3">
        <v>45624</v>
      </c>
      <c r="B91" s="2" t="s">
        <v>141</v>
      </c>
      <c r="C91" s="2" t="s">
        <v>32</v>
      </c>
      <c r="D91" s="2" t="s">
        <v>24</v>
      </c>
      <c r="E91" s="2" t="s">
        <v>55</v>
      </c>
      <c r="F91" s="2">
        <v>65987.02</v>
      </c>
      <c r="G91" s="2">
        <v>2</v>
      </c>
      <c r="H91" s="2">
        <v>17708.080000000002</v>
      </c>
      <c r="I91" s="2" t="s">
        <v>47</v>
      </c>
      <c r="J91" s="2">
        <v>2024</v>
      </c>
    </row>
    <row r="92" spans="1:10" x14ac:dyDescent="0.3">
      <c r="A92" s="3">
        <v>45613</v>
      </c>
      <c r="B92" s="2" t="s">
        <v>142</v>
      </c>
      <c r="C92" s="2" t="s">
        <v>59</v>
      </c>
      <c r="D92" s="2" t="s">
        <v>24</v>
      </c>
      <c r="E92" s="2" t="s">
        <v>55</v>
      </c>
      <c r="F92" s="2">
        <v>1529.43</v>
      </c>
      <c r="G92" s="2">
        <v>2</v>
      </c>
      <c r="H92" s="2">
        <v>355.18</v>
      </c>
      <c r="I92" s="2" t="s">
        <v>47</v>
      </c>
      <c r="J92" s="2">
        <v>2024</v>
      </c>
    </row>
    <row r="93" spans="1:10" x14ac:dyDescent="0.3">
      <c r="A93" s="3">
        <v>45669</v>
      </c>
      <c r="B93" s="2" t="s">
        <v>143</v>
      </c>
      <c r="C93" s="2" t="s">
        <v>64</v>
      </c>
      <c r="D93" s="2" t="s">
        <v>14</v>
      </c>
      <c r="E93" s="2" t="s">
        <v>57</v>
      </c>
      <c r="F93" s="2">
        <v>91355.36</v>
      </c>
      <c r="G93" s="2">
        <v>7</v>
      </c>
      <c r="H93" s="2">
        <v>12878.96</v>
      </c>
      <c r="I93" s="2" t="s">
        <v>61</v>
      </c>
      <c r="J93" s="2">
        <v>2025</v>
      </c>
    </row>
    <row r="94" spans="1:10" x14ac:dyDescent="0.3">
      <c r="A94" s="3">
        <v>45848</v>
      </c>
      <c r="B94" s="2" t="s">
        <v>144</v>
      </c>
      <c r="C94" s="2" t="s">
        <v>72</v>
      </c>
      <c r="D94" s="2" t="s">
        <v>9</v>
      </c>
      <c r="E94" s="2" t="s">
        <v>43</v>
      </c>
      <c r="F94" s="2">
        <v>92103.49</v>
      </c>
      <c r="G94" s="2">
        <v>9</v>
      </c>
      <c r="H94" s="2">
        <v>7173.31</v>
      </c>
      <c r="I94" s="2" t="s">
        <v>26</v>
      </c>
      <c r="J94" s="2">
        <v>2025</v>
      </c>
    </row>
    <row r="95" spans="1:10" x14ac:dyDescent="0.3">
      <c r="A95" s="3">
        <v>45589</v>
      </c>
      <c r="B95" s="2" t="s">
        <v>145</v>
      </c>
      <c r="C95" s="2" t="s">
        <v>105</v>
      </c>
      <c r="D95" s="2" t="s">
        <v>24</v>
      </c>
      <c r="E95" s="2" t="s">
        <v>70</v>
      </c>
      <c r="F95" s="2">
        <v>22513.31</v>
      </c>
      <c r="G95" s="2">
        <v>8</v>
      </c>
      <c r="H95" s="2">
        <v>5027.7</v>
      </c>
      <c r="I95" s="2" t="s">
        <v>22</v>
      </c>
      <c r="J95" s="2">
        <v>2024</v>
      </c>
    </row>
    <row r="96" spans="1:10" x14ac:dyDescent="0.3">
      <c r="A96" s="3">
        <v>45846</v>
      </c>
      <c r="B96" s="2" t="s">
        <v>146</v>
      </c>
      <c r="C96" s="2" t="s">
        <v>8</v>
      </c>
      <c r="D96" s="2" t="s">
        <v>9</v>
      </c>
      <c r="E96" s="2" t="s">
        <v>29</v>
      </c>
      <c r="F96" s="2">
        <v>4622.3100000000004</v>
      </c>
      <c r="G96" s="2">
        <v>8</v>
      </c>
      <c r="H96" s="2">
        <v>725.98</v>
      </c>
      <c r="I96" s="2" t="s">
        <v>26</v>
      </c>
      <c r="J96" s="2">
        <v>2025</v>
      </c>
    </row>
    <row r="97" spans="1:10" x14ac:dyDescent="0.3">
      <c r="A97" s="3">
        <v>45802</v>
      </c>
      <c r="B97" s="2" t="s">
        <v>147</v>
      </c>
      <c r="C97" s="2" t="s">
        <v>84</v>
      </c>
      <c r="D97" s="2" t="s">
        <v>14</v>
      </c>
      <c r="E97" s="2" t="s">
        <v>15</v>
      </c>
      <c r="F97" s="2">
        <v>66484.02</v>
      </c>
      <c r="G97" s="2">
        <v>8</v>
      </c>
      <c r="H97" s="2">
        <v>4033.26</v>
      </c>
      <c r="I97" s="2" t="s">
        <v>11</v>
      </c>
      <c r="J97" s="2">
        <v>2025</v>
      </c>
    </row>
    <row r="98" spans="1:10" x14ac:dyDescent="0.3">
      <c r="A98" s="3">
        <v>45786</v>
      </c>
      <c r="B98" s="2" t="s">
        <v>148</v>
      </c>
      <c r="C98" s="2" t="s">
        <v>39</v>
      </c>
      <c r="D98" s="2" t="s">
        <v>24</v>
      </c>
      <c r="E98" s="2" t="s">
        <v>25</v>
      </c>
      <c r="F98" s="2">
        <v>95913</v>
      </c>
      <c r="G98" s="2">
        <v>9</v>
      </c>
      <c r="H98" s="2">
        <v>12130.84</v>
      </c>
      <c r="I98" s="2" t="s">
        <v>11</v>
      </c>
      <c r="J98" s="2">
        <v>2025</v>
      </c>
    </row>
    <row r="99" spans="1:10" x14ac:dyDescent="0.3">
      <c r="A99" s="3">
        <v>45768</v>
      </c>
      <c r="B99" s="2" t="s">
        <v>149</v>
      </c>
      <c r="C99" s="2" t="s">
        <v>13</v>
      </c>
      <c r="D99" s="2" t="s">
        <v>14</v>
      </c>
      <c r="E99" s="2" t="s">
        <v>21</v>
      </c>
      <c r="F99" s="2">
        <v>78052.53</v>
      </c>
      <c r="G99" s="2">
        <v>4</v>
      </c>
      <c r="H99" s="2">
        <v>14297.95</v>
      </c>
      <c r="I99" s="2" t="s">
        <v>19</v>
      </c>
      <c r="J99" s="2">
        <v>2025</v>
      </c>
    </row>
    <row r="100" spans="1:10" x14ac:dyDescent="0.3">
      <c r="A100" s="3">
        <v>45755</v>
      </c>
      <c r="B100" s="2" t="s">
        <v>150</v>
      </c>
      <c r="C100" s="2" t="s">
        <v>13</v>
      </c>
      <c r="D100" s="2" t="s">
        <v>14</v>
      </c>
      <c r="E100" s="2" t="s">
        <v>75</v>
      </c>
      <c r="F100" s="2">
        <v>70861.899999999994</v>
      </c>
      <c r="G100" s="2">
        <v>2</v>
      </c>
      <c r="H100" s="2">
        <v>3818.64</v>
      </c>
      <c r="I100" s="2" t="s">
        <v>19</v>
      </c>
      <c r="J100" s="2">
        <v>2025</v>
      </c>
    </row>
    <row r="101" spans="1:10" x14ac:dyDescent="0.3">
      <c r="A101" s="3">
        <v>45560</v>
      </c>
      <c r="B101" s="2" t="s">
        <v>151</v>
      </c>
      <c r="C101" s="2" t="s">
        <v>59</v>
      </c>
      <c r="D101" s="2" t="s">
        <v>14</v>
      </c>
      <c r="E101" s="2" t="s">
        <v>57</v>
      </c>
      <c r="F101" s="2">
        <v>12539.18</v>
      </c>
      <c r="G101" s="2">
        <v>8</v>
      </c>
      <c r="H101" s="2">
        <v>691.57</v>
      </c>
      <c r="I101" s="2" t="s">
        <v>65</v>
      </c>
      <c r="J101" s="2">
        <v>2024</v>
      </c>
    </row>
    <row r="102" spans="1:10" x14ac:dyDescent="0.3">
      <c r="A102" s="3">
        <v>45728</v>
      </c>
      <c r="B102" s="2" t="s">
        <v>152</v>
      </c>
      <c r="C102" s="2" t="s">
        <v>82</v>
      </c>
      <c r="D102" s="2" t="s">
        <v>24</v>
      </c>
      <c r="E102" s="2" t="s">
        <v>25</v>
      </c>
      <c r="F102" s="2">
        <v>54760.66</v>
      </c>
      <c r="G102" s="2">
        <v>6</v>
      </c>
      <c r="H102" s="2">
        <v>13991.12</v>
      </c>
      <c r="I102" s="2" t="s">
        <v>68</v>
      </c>
      <c r="J102" s="2">
        <v>2025</v>
      </c>
    </row>
    <row r="103" spans="1:10" x14ac:dyDescent="0.3">
      <c r="A103" s="3">
        <v>45564</v>
      </c>
      <c r="B103" s="2" t="s">
        <v>153</v>
      </c>
      <c r="C103" s="2" t="s">
        <v>105</v>
      </c>
      <c r="D103" s="2" t="s">
        <v>24</v>
      </c>
      <c r="E103" s="2" t="s">
        <v>37</v>
      </c>
      <c r="F103" s="2">
        <v>3647.67</v>
      </c>
      <c r="G103" s="2">
        <v>7</v>
      </c>
      <c r="H103" s="2">
        <v>650.89</v>
      </c>
      <c r="I103" s="2" t="s">
        <v>65</v>
      </c>
      <c r="J103" s="2">
        <v>2024</v>
      </c>
    </row>
    <row r="104" spans="1:10" x14ac:dyDescent="0.3">
      <c r="A104" s="3">
        <v>45593</v>
      </c>
      <c r="B104" s="2" t="s">
        <v>154</v>
      </c>
      <c r="C104" s="2" t="s">
        <v>54</v>
      </c>
      <c r="D104" s="2" t="s">
        <v>9</v>
      </c>
      <c r="E104" s="2" t="s">
        <v>35</v>
      </c>
      <c r="F104" s="2">
        <v>79005.240000000005</v>
      </c>
      <c r="G104" s="2">
        <v>10</v>
      </c>
      <c r="H104" s="2">
        <v>15402.77</v>
      </c>
      <c r="I104" s="2" t="s">
        <v>22</v>
      </c>
      <c r="J104" s="2">
        <v>2024</v>
      </c>
    </row>
    <row r="105" spans="1:10" x14ac:dyDescent="0.3">
      <c r="A105" s="3">
        <v>45695</v>
      </c>
      <c r="B105" s="2" t="s">
        <v>155</v>
      </c>
      <c r="C105" s="2" t="s">
        <v>59</v>
      </c>
      <c r="D105" s="2" t="s">
        <v>14</v>
      </c>
      <c r="E105" s="2" t="s">
        <v>15</v>
      </c>
      <c r="F105" s="2">
        <v>31887.29</v>
      </c>
      <c r="G105" s="2">
        <v>5</v>
      </c>
      <c r="H105" s="2">
        <v>4858.97</v>
      </c>
      <c r="I105" s="2" t="s">
        <v>16</v>
      </c>
      <c r="J105" s="2">
        <v>2025</v>
      </c>
    </row>
    <row r="106" spans="1:10" x14ac:dyDescent="0.3">
      <c r="A106" s="3">
        <v>45857</v>
      </c>
      <c r="B106" s="2" t="s">
        <v>156</v>
      </c>
      <c r="C106" s="2" t="s">
        <v>74</v>
      </c>
      <c r="D106" s="2" t="s">
        <v>24</v>
      </c>
      <c r="E106" s="2" t="s">
        <v>55</v>
      </c>
      <c r="F106" s="2">
        <v>46816.160000000003</v>
      </c>
      <c r="G106" s="2">
        <v>1</v>
      </c>
      <c r="H106" s="2">
        <v>9203.98</v>
      </c>
      <c r="I106" s="2" t="s">
        <v>26</v>
      </c>
      <c r="J106" s="2">
        <v>2025</v>
      </c>
    </row>
    <row r="107" spans="1:10" x14ac:dyDescent="0.3">
      <c r="A107" s="3">
        <v>45498</v>
      </c>
      <c r="B107" s="2" t="s">
        <v>157</v>
      </c>
      <c r="C107" s="2" t="s">
        <v>13</v>
      </c>
      <c r="D107" s="2" t="s">
        <v>9</v>
      </c>
      <c r="E107" s="2" t="s">
        <v>35</v>
      </c>
      <c r="F107" s="2">
        <v>20358.939999999999</v>
      </c>
      <c r="G107" s="2">
        <v>1</v>
      </c>
      <c r="H107" s="2">
        <v>3304.59</v>
      </c>
      <c r="I107" s="2" t="s">
        <v>26</v>
      </c>
      <c r="J107" s="2">
        <v>2024</v>
      </c>
    </row>
    <row r="108" spans="1:10" x14ac:dyDescent="0.3">
      <c r="A108" s="3">
        <v>45746</v>
      </c>
      <c r="B108" s="2" t="s">
        <v>158</v>
      </c>
      <c r="C108" s="2" t="s">
        <v>72</v>
      </c>
      <c r="D108" s="2" t="s">
        <v>9</v>
      </c>
      <c r="E108" s="2" t="s">
        <v>43</v>
      </c>
      <c r="F108" s="2">
        <v>47963.87</v>
      </c>
      <c r="G108" s="2">
        <v>9</v>
      </c>
      <c r="H108" s="2">
        <v>13843.13</v>
      </c>
      <c r="I108" s="2" t="s">
        <v>68</v>
      </c>
      <c r="J108" s="2">
        <v>2025</v>
      </c>
    </row>
    <row r="109" spans="1:10" x14ac:dyDescent="0.3">
      <c r="A109" s="3">
        <v>45627</v>
      </c>
      <c r="B109" s="2" t="s">
        <v>159</v>
      </c>
      <c r="C109" s="2" t="s">
        <v>18</v>
      </c>
      <c r="D109" s="2" t="s">
        <v>9</v>
      </c>
      <c r="E109" s="2" t="s">
        <v>29</v>
      </c>
      <c r="F109" s="2">
        <v>61406.57</v>
      </c>
      <c r="G109" s="2">
        <v>5</v>
      </c>
      <c r="H109" s="2">
        <v>17247.52</v>
      </c>
      <c r="I109" s="2" t="s">
        <v>30</v>
      </c>
      <c r="J109" s="2">
        <v>2024</v>
      </c>
    </row>
    <row r="110" spans="1:10" x14ac:dyDescent="0.3">
      <c r="A110" s="3">
        <v>45542</v>
      </c>
      <c r="B110" s="2" t="s">
        <v>160</v>
      </c>
      <c r="C110" s="2" t="s">
        <v>13</v>
      </c>
      <c r="D110" s="2" t="s">
        <v>14</v>
      </c>
      <c r="E110" s="2" t="s">
        <v>57</v>
      </c>
      <c r="F110" s="2">
        <v>99051.5</v>
      </c>
      <c r="G110" s="2">
        <v>3</v>
      </c>
      <c r="H110" s="2">
        <v>15566.43</v>
      </c>
      <c r="I110" s="2" t="s">
        <v>65</v>
      </c>
      <c r="J110" s="2">
        <v>2024</v>
      </c>
    </row>
    <row r="111" spans="1:10" x14ac:dyDescent="0.3">
      <c r="A111" s="3">
        <v>45586</v>
      </c>
      <c r="B111" s="2" t="s">
        <v>161</v>
      </c>
      <c r="C111" s="2" t="s">
        <v>32</v>
      </c>
      <c r="D111" s="2" t="s">
        <v>24</v>
      </c>
      <c r="E111" s="2" t="s">
        <v>37</v>
      </c>
      <c r="F111" s="2">
        <v>9452.0300000000007</v>
      </c>
      <c r="G111" s="2">
        <v>4</v>
      </c>
      <c r="H111" s="2">
        <v>2114.5100000000002</v>
      </c>
      <c r="I111" s="2" t="s">
        <v>22</v>
      </c>
      <c r="J111" s="2">
        <v>2024</v>
      </c>
    </row>
    <row r="112" spans="1:10" x14ac:dyDescent="0.3">
      <c r="A112" s="3">
        <v>45832</v>
      </c>
      <c r="B112" s="2" t="s">
        <v>162</v>
      </c>
      <c r="C112" s="2" t="s">
        <v>54</v>
      </c>
      <c r="D112" s="2" t="s">
        <v>24</v>
      </c>
      <c r="E112" s="2" t="s">
        <v>70</v>
      </c>
      <c r="F112" s="2">
        <v>47138.76</v>
      </c>
      <c r="G112" s="2">
        <v>2</v>
      </c>
      <c r="H112" s="2">
        <v>8096.25</v>
      </c>
      <c r="I112" s="2" t="s">
        <v>44</v>
      </c>
      <c r="J112" s="2">
        <v>2025</v>
      </c>
    </row>
    <row r="113" spans="1:10" x14ac:dyDescent="0.3">
      <c r="A113" s="3">
        <v>45751</v>
      </c>
      <c r="B113" s="2" t="s">
        <v>163</v>
      </c>
      <c r="C113" s="2" t="s">
        <v>13</v>
      </c>
      <c r="D113" s="2" t="s">
        <v>9</v>
      </c>
      <c r="E113" s="2" t="s">
        <v>35</v>
      </c>
      <c r="F113" s="2">
        <v>68942.2</v>
      </c>
      <c r="G113" s="2">
        <v>6</v>
      </c>
      <c r="H113" s="2">
        <v>15793.28</v>
      </c>
      <c r="I113" s="2" t="s">
        <v>19</v>
      </c>
      <c r="J113" s="2">
        <v>2025</v>
      </c>
    </row>
    <row r="114" spans="1:10" x14ac:dyDescent="0.3">
      <c r="A114" s="3">
        <v>45813</v>
      </c>
      <c r="B114" s="2" t="s">
        <v>164</v>
      </c>
      <c r="C114" s="2" t="s">
        <v>84</v>
      </c>
      <c r="D114" s="2" t="s">
        <v>24</v>
      </c>
      <c r="E114" s="2" t="s">
        <v>25</v>
      </c>
      <c r="F114" s="2">
        <v>95418.19</v>
      </c>
      <c r="G114" s="2">
        <v>1</v>
      </c>
      <c r="H114" s="2">
        <v>19783.62</v>
      </c>
      <c r="I114" s="2" t="s">
        <v>44</v>
      </c>
      <c r="J114" s="2">
        <v>2025</v>
      </c>
    </row>
    <row r="115" spans="1:10" x14ac:dyDescent="0.3">
      <c r="A115" s="3">
        <v>45585</v>
      </c>
      <c r="B115" s="2" t="s">
        <v>165</v>
      </c>
      <c r="C115" s="2" t="s">
        <v>13</v>
      </c>
      <c r="D115" s="2" t="s">
        <v>9</v>
      </c>
      <c r="E115" s="2" t="s">
        <v>29</v>
      </c>
      <c r="F115" s="2">
        <v>40549.68</v>
      </c>
      <c r="G115" s="2">
        <v>4</v>
      </c>
      <c r="H115" s="2">
        <v>5906.51</v>
      </c>
      <c r="I115" s="2" t="s">
        <v>22</v>
      </c>
      <c r="J115" s="2">
        <v>2024</v>
      </c>
    </row>
    <row r="116" spans="1:10" x14ac:dyDescent="0.3">
      <c r="A116" s="3">
        <v>45611</v>
      </c>
      <c r="B116" s="2" t="s">
        <v>166</v>
      </c>
      <c r="C116" s="2" t="s">
        <v>84</v>
      </c>
      <c r="D116" s="2" t="s">
        <v>14</v>
      </c>
      <c r="E116" s="2" t="s">
        <v>75</v>
      </c>
      <c r="F116" s="2">
        <v>42590.6</v>
      </c>
      <c r="G116" s="2">
        <v>6</v>
      </c>
      <c r="H116" s="2">
        <v>8303.57</v>
      </c>
      <c r="I116" s="2" t="s">
        <v>47</v>
      </c>
      <c r="J116" s="2">
        <v>2024</v>
      </c>
    </row>
    <row r="117" spans="1:10" x14ac:dyDescent="0.3">
      <c r="A117" s="3">
        <v>45631</v>
      </c>
      <c r="B117" s="2" t="s">
        <v>167</v>
      </c>
      <c r="C117" s="2" t="s">
        <v>28</v>
      </c>
      <c r="D117" s="2" t="s">
        <v>24</v>
      </c>
      <c r="E117" s="2" t="s">
        <v>25</v>
      </c>
      <c r="F117" s="2">
        <v>40064.74</v>
      </c>
      <c r="G117" s="2">
        <v>2</v>
      </c>
      <c r="H117" s="2">
        <v>7385.95</v>
      </c>
      <c r="I117" s="2" t="s">
        <v>30</v>
      </c>
      <c r="J117" s="2">
        <v>2024</v>
      </c>
    </row>
    <row r="118" spans="1:10" x14ac:dyDescent="0.3">
      <c r="A118" s="3">
        <v>45798</v>
      </c>
      <c r="B118" s="2" t="s">
        <v>168</v>
      </c>
      <c r="C118" s="2" t="s">
        <v>34</v>
      </c>
      <c r="D118" s="2" t="s">
        <v>9</v>
      </c>
      <c r="E118" s="2" t="s">
        <v>29</v>
      </c>
      <c r="F118" s="2">
        <v>58026.11</v>
      </c>
      <c r="G118" s="2">
        <v>3</v>
      </c>
      <c r="H118" s="2">
        <v>16495.310000000001</v>
      </c>
      <c r="I118" s="2" t="s">
        <v>11</v>
      </c>
      <c r="J118" s="2">
        <v>2025</v>
      </c>
    </row>
    <row r="119" spans="1:10" x14ac:dyDescent="0.3">
      <c r="A119" s="3">
        <v>45855</v>
      </c>
      <c r="B119" s="2" t="s">
        <v>169</v>
      </c>
      <c r="C119" s="2" t="s">
        <v>82</v>
      </c>
      <c r="D119" s="2" t="s">
        <v>9</v>
      </c>
      <c r="E119" s="2" t="s">
        <v>35</v>
      </c>
      <c r="F119" s="2">
        <v>29305.98</v>
      </c>
      <c r="G119" s="2">
        <v>8</v>
      </c>
      <c r="H119" s="2">
        <v>2963.26</v>
      </c>
      <c r="I119" s="2" t="s">
        <v>26</v>
      </c>
      <c r="J119" s="2">
        <v>2025</v>
      </c>
    </row>
    <row r="120" spans="1:10" x14ac:dyDescent="0.3">
      <c r="A120" s="3">
        <v>45688</v>
      </c>
      <c r="B120" s="2" t="s">
        <v>170</v>
      </c>
      <c r="C120" s="2" t="s">
        <v>46</v>
      </c>
      <c r="D120" s="2" t="s">
        <v>24</v>
      </c>
      <c r="E120" s="2" t="s">
        <v>70</v>
      </c>
      <c r="F120" s="2">
        <v>76334.149999999994</v>
      </c>
      <c r="G120" s="2">
        <v>7</v>
      </c>
      <c r="H120" s="2">
        <v>11451.27</v>
      </c>
      <c r="I120" s="2" t="s">
        <v>61</v>
      </c>
      <c r="J120" s="2">
        <v>2025</v>
      </c>
    </row>
    <row r="121" spans="1:10" x14ac:dyDescent="0.3">
      <c r="A121" s="3">
        <v>45669</v>
      </c>
      <c r="B121" s="2" t="s">
        <v>171</v>
      </c>
      <c r="C121" s="2" t="s">
        <v>82</v>
      </c>
      <c r="D121" s="2" t="s">
        <v>14</v>
      </c>
      <c r="E121" s="2" t="s">
        <v>75</v>
      </c>
      <c r="F121" s="2">
        <v>44898.77</v>
      </c>
      <c r="G121" s="2">
        <v>4</v>
      </c>
      <c r="H121" s="2">
        <v>11931.24</v>
      </c>
      <c r="I121" s="2" t="s">
        <v>61</v>
      </c>
      <c r="J121" s="2">
        <v>2025</v>
      </c>
    </row>
    <row r="122" spans="1:10" x14ac:dyDescent="0.3">
      <c r="A122" s="3">
        <v>45562</v>
      </c>
      <c r="B122" s="2" t="s">
        <v>172</v>
      </c>
      <c r="C122" s="2" t="s">
        <v>59</v>
      </c>
      <c r="D122" s="2" t="s">
        <v>9</v>
      </c>
      <c r="E122" s="2" t="s">
        <v>43</v>
      </c>
      <c r="F122" s="2">
        <v>61977.08</v>
      </c>
      <c r="G122" s="2">
        <v>4</v>
      </c>
      <c r="H122" s="2">
        <v>8201.82</v>
      </c>
      <c r="I122" s="2" t="s">
        <v>65</v>
      </c>
      <c r="J122" s="2">
        <v>2024</v>
      </c>
    </row>
    <row r="123" spans="1:10" x14ac:dyDescent="0.3">
      <c r="A123" s="3">
        <v>45711</v>
      </c>
      <c r="B123" s="2" t="s">
        <v>173</v>
      </c>
      <c r="C123" s="2" t="s">
        <v>74</v>
      </c>
      <c r="D123" s="2" t="s">
        <v>9</v>
      </c>
      <c r="E123" s="2" t="s">
        <v>29</v>
      </c>
      <c r="F123" s="2">
        <v>47899.22</v>
      </c>
      <c r="G123" s="2">
        <v>7</v>
      </c>
      <c r="H123" s="2">
        <v>10128.44</v>
      </c>
      <c r="I123" s="2" t="s">
        <v>16</v>
      </c>
      <c r="J123" s="2">
        <v>2025</v>
      </c>
    </row>
    <row r="124" spans="1:10" x14ac:dyDescent="0.3">
      <c r="A124" s="3">
        <v>45555</v>
      </c>
      <c r="B124" s="2" t="s">
        <v>174</v>
      </c>
      <c r="C124" s="2" t="s">
        <v>50</v>
      </c>
      <c r="D124" s="2" t="s">
        <v>9</v>
      </c>
      <c r="E124" s="2" t="s">
        <v>29</v>
      </c>
      <c r="F124" s="2">
        <v>42419.19</v>
      </c>
      <c r="G124" s="2">
        <v>1</v>
      </c>
      <c r="H124" s="2">
        <v>12381.86</v>
      </c>
      <c r="I124" s="2" t="s">
        <v>65</v>
      </c>
      <c r="J124" s="2">
        <v>2024</v>
      </c>
    </row>
    <row r="125" spans="1:10" x14ac:dyDescent="0.3">
      <c r="A125" s="3">
        <v>45809</v>
      </c>
      <c r="B125" s="2" t="s">
        <v>175</v>
      </c>
      <c r="C125" s="2" t="s">
        <v>72</v>
      </c>
      <c r="D125" s="2" t="s">
        <v>14</v>
      </c>
      <c r="E125" s="2" t="s">
        <v>57</v>
      </c>
      <c r="F125" s="2">
        <v>77662.61</v>
      </c>
      <c r="G125" s="2">
        <v>8</v>
      </c>
      <c r="H125" s="2">
        <v>15435.35</v>
      </c>
      <c r="I125" s="2" t="s">
        <v>44</v>
      </c>
      <c r="J125" s="2">
        <v>2025</v>
      </c>
    </row>
    <row r="126" spans="1:10" x14ac:dyDescent="0.3">
      <c r="A126" s="3">
        <v>45636</v>
      </c>
      <c r="B126" s="2" t="s">
        <v>176</v>
      </c>
      <c r="C126" s="2" t="s">
        <v>42</v>
      </c>
      <c r="D126" s="2" t="s">
        <v>9</v>
      </c>
      <c r="E126" s="2" t="s">
        <v>29</v>
      </c>
      <c r="F126" s="2">
        <v>71056.479999999996</v>
      </c>
      <c r="G126" s="2">
        <v>6</v>
      </c>
      <c r="H126" s="2">
        <v>5071.2</v>
      </c>
      <c r="I126" s="2" t="s">
        <v>30</v>
      </c>
      <c r="J126" s="2">
        <v>2024</v>
      </c>
    </row>
    <row r="127" spans="1:10" x14ac:dyDescent="0.3">
      <c r="A127" s="3">
        <v>45793</v>
      </c>
      <c r="B127" s="2" t="s">
        <v>177</v>
      </c>
      <c r="C127" s="2" t="s">
        <v>54</v>
      </c>
      <c r="D127" s="2" t="s">
        <v>24</v>
      </c>
      <c r="E127" s="2" t="s">
        <v>55</v>
      </c>
      <c r="F127" s="2">
        <v>73288.649999999994</v>
      </c>
      <c r="G127" s="2">
        <v>9</v>
      </c>
      <c r="H127" s="2">
        <v>16849.939999999999</v>
      </c>
      <c r="I127" s="2" t="s">
        <v>11</v>
      </c>
      <c r="J127" s="2">
        <v>2025</v>
      </c>
    </row>
    <row r="128" spans="1:10" x14ac:dyDescent="0.3">
      <c r="A128" s="3">
        <v>45650</v>
      </c>
      <c r="B128" s="2" t="s">
        <v>178</v>
      </c>
      <c r="C128" s="2" t="s">
        <v>84</v>
      </c>
      <c r="D128" s="2" t="s">
        <v>24</v>
      </c>
      <c r="E128" s="2" t="s">
        <v>37</v>
      </c>
      <c r="F128" s="2">
        <v>78960.63</v>
      </c>
      <c r="G128" s="2">
        <v>6</v>
      </c>
      <c r="H128" s="2">
        <v>7789.5</v>
      </c>
      <c r="I128" s="2" t="s">
        <v>30</v>
      </c>
      <c r="J128" s="2">
        <v>2024</v>
      </c>
    </row>
    <row r="129" spans="1:10" x14ac:dyDescent="0.3">
      <c r="A129" s="3">
        <v>45710</v>
      </c>
      <c r="B129" s="2" t="s">
        <v>179</v>
      </c>
      <c r="C129" s="2" t="s">
        <v>82</v>
      </c>
      <c r="D129" s="2" t="s">
        <v>24</v>
      </c>
      <c r="E129" s="2" t="s">
        <v>70</v>
      </c>
      <c r="F129" s="2">
        <v>96473.1</v>
      </c>
      <c r="G129" s="2">
        <v>10</v>
      </c>
      <c r="H129" s="2">
        <v>11872.48</v>
      </c>
      <c r="I129" s="2" t="s">
        <v>16</v>
      </c>
      <c r="J129" s="2">
        <v>2025</v>
      </c>
    </row>
    <row r="130" spans="1:10" x14ac:dyDescent="0.3">
      <c r="A130" s="3">
        <v>45526</v>
      </c>
      <c r="B130" s="2" t="s">
        <v>180</v>
      </c>
      <c r="C130" s="2" t="s">
        <v>74</v>
      </c>
      <c r="D130" s="2" t="s">
        <v>24</v>
      </c>
      <c r="E130" s="2" t="s">
        <v>55</v>
      </c>
      <c r="F130" s="2">
        <v>28219.78</v>
      </c>
      <c r="G130" s="2">
        <v>10</v>
      </c>
      <c r="H130" s="2">
        <v>4170.7700000000004</v>
      </c>
      <c r="I130" s="2" t="s">
        <v>40</v>
      </c>
      <c r="J130" s="2">
        <v>2024</v>
      </c>
    </row>
    <row r="131" spans="1:10" x14ac:dyDescent="0.3">
      <c r="A131" s="3">
        <v>45628</v>
      </c>
      <c r="B131" s="2" t="s">
        <v>181</v>
      </c>
      <c r="C131" s="2" t="s">
        <v>34</v>
      </c>
      <c r="D131" s="2" t="s">
        <v>9</v>
      </c>
      <c r="E131" s="2" t="s">
        <v>35</v>
      </c>
      <c r="F131" s="2">
        <v>41888.46</v>
      </c>
      <c r="G131" s="2">
        <v>10</v>
      </c>
      <c r="H131" s="2">
        <v>11411.19</v>
      </c>
      <c r="I131" s="2" t="s">
        <v>30</v>
      </c>
      <c r="J131" s="2">
        <v>2024</v>
      </c>
    </row>
    <row r="132" spans="1:10" x14ac:dyDescent="0.3">
      <c r="A132" s="3">
        <v>45841</v>
      </c>
      <c r="B132" s="2" t="s">
        <v>182</v>
      </c>
      <c r="C132" s="2" t="s">
        <v>32</v>
      </c>
      <c r="D132" s="2" t="s">
        <v>14</v>
      </c>
      <c r="E132" s="2" t="s">
        <v>21</v>
      </c>
      <c r="F132" s="2">
        <v>25440.02</v>
      </c>
      <c r="G132" s="2">
        <v>1</v>
      </c>
      <c r="H132" s="2">
        <v>2127.12</v>
      </c>
      <c r="I132" s="2" t="s">
        <v>26</v>
      </c>
      <c r="J132" s="2">
        <v>2025</v>
      </c>
    </row>
    <row r="133" spans="1:10" x14ac:dyDescent="0.3">
      <c r="A133" s="3">
        <v>45593</v>
      </c>
      <c r="B133" s="2" t="s">
        <v>183</v>
      </c>
      <c r="C133" s="2" t="s">
        <v>34</v>
      </c>
      <c r="D133" s="2" t="s">
        <v>9</v>
      </c>
      <c r="E133" s="2" t="s">
        <v>43</v>
      </c>
      <c r="F133" s="2">
        <v>71876.649999999994</v>
      </c>
      <c r="G133" s="2">
        <v>3</v>
      </c>
      <c r="H133" s="2">
        <v>9164.76</v>
      </c>
      <c r="I133" s="2" t="s">
        <v>22</v>
      </c>
      <c r="J133" s="2">
        <v>2024</v>
      </c>
    </row>
    <row r="134" spans="1:10" x14ac:dyDescent="0.3">
      <c r="A134" s="3">
        <v>45796</v>
      </c>
      <c r="B134" s="2" t="s">
        <v>184</v>
      </c>
      <c r="C134" s="2" t="s">
        <v>82</v>
      </c>
      <c r="D134" s="2" t="s">
        <v>9</v>
      </c>
      <c r="E134" s="2" t="s">
        <v>29</v>
      </c>
      <c r="F134" s="2">
        <v>84735.35</v>
      </c>
      <c r="G134" s="2">
        <v>5</v>
      </c>
      <c r="H134" s="2">
        <v>12354.95</v>
      </c>
      <c r="I134" s="2" t="s">
        <v>11</v>
      </c>
      <c r="J134" s="2">
        <v>2025</v>
      </c>
    </row>
    <row r="135" spans="1:10" x14ac:dyDescent="0.3">
      <c r="A135" s="3">
        <v>45857</v>
      </c>
      <c r="B135" s="2" t="s">
        <v>185</v>
      </c>
      <c r="C135" s="2" t="s">
        <v>74</v>
      </c>
      <c r="D135" s="2" t="s">
        <v>24</v>
      </c>
      <c r="E135" s="2" t="s">
        <v>25</v>
      </c>
      <c r="F135" s="2">
        <v>84071.17</v>
      </c>
      <c r="G135" s="2">
        <v>6</v>
      </c>
      <c r="H135" s="2">
        <v>17704.28</v>
      </c>
      <c r="I135" s="2" t="s">
        <v>26</v>
      </c>
      <c r="J135" s="2">
        <v>2025</v>
      </c>
    </row>
    <row r="136" spans="1:10" x14ac:dyDescent="0.3">
      <c r="A136" s="3">
        <v>45505</v>
      </c>
      <c r="B136" s="2" t="s">
        <v>186</v>
      </c>
      <c r="C136" s="2" t="s">
        <v>74</v>
      </c>
      <c r="D136" s="2" t="s">
        <v>24</v>
      </c>
      <c r="E136" s="2" t="s">
        <v>25</v>
      </c>
      <c r="F136" s="2">
        <v>93460.6</v>
      </c>
      <c r="G136" s="2">
        <v>1</v>
      </c>
      <c r="H136" s="2">
        <v>15142.37</v>
      </c>
      <c r="I136" s="2" t="s">
        <v>40</v>
      </c>
      <c r="J136" s="2">
        <v>2024</v>
      </c>
    </row>
    <row r="137" spans="1:10" x14ac:dyDescent="0.3">
      <c r="A137" s="3">
        <v>45780</v>
      </c>
      <c r="B137" s="2" t="s">
        <v>187</v>
      </c>
      <c r="C137" s="2" t="s">
        <v>64</v>
      </c>
      <c r="D137" s="2" t="s">
        <v>14</v>
      </c>
      <c r="E137" s="2" t="s">
        <v>75</v>
      </c>
      <c r="F137" s="2">
        <v>51260.67</v>
      </c>
      <c r="G137" s="2">
        <v>5</v>
      </c>
      <c r="H137" s="2">
        <v>12523.39</v>
      </c>
      <c r="I137" s="2" t="s">
        <v>11</v>
      </c>
      <c r="J137" s="2">
        <v>2025</v>
      </c>
    </row>
    <row r="138" spans="1:10" x14ac:dyDescent="0.3">
      <c r="A138" s="3">
        <v>45775</v>
      </c>
      <c r="B138" s="2" t="s">
        <v>188</v>
      </c>
      <c r="C138" s="2" t="s">
        <v>105</v>
      </c>
      <c r="D138" s="2" t="s">
        <v>9</v>
      </c>
      <c r="E138" s="2" t="s">
        <v>29</v>
      </c>
      <c r="F138" s="2">
        <v>65414.71</v>
      </c>
      <c r="G138" s="2">
        <v>6</v>
      </c>
      <c r="H138" s="2">
        <v>6129.64</v>
      </c>
      <c r="I138" s="2" t="s">
        <v>19</v>
      </c>
      <c r="J138" s="2">
        <v>2025</v>
      </c>
    </row>
    <row r="139" spans="1:10" x14ac:dyDescent="0.3">
      <c r="A139" s="3">
        <v>45812</v>
      </c>
      <c r="B139" s="2" t="s">
        <v>189</v>
      </c>
      <c r="C139" s="2" t="s">
        <v>34</v>
      </c>
      <c r="D139" s="2" t="s">
        <v>24</v>
      </c>
      <c r="E139" s="2" t="s">
        <v>37</v>
      </c>
      <c r="F139" s="2">
        <v>9262.75</v>
      </c>
      <c r="G139" s="2">
        <v>10</v>
      </c>
      <c r="H139" s="2">
        <v>852.43</v>
      </c>
      <c r="I139" s="2" t="s">
        <v>44</v>
      </c>
      <c r="J139" s="2">
        <v>2025</v>
      </c>
    </row>
    <row r="140" spans="1:10" x14ac:dyDescent="0.3">
      <c r="A140" s="3">
        <v>45524</v>
      </c>
      <c r="B140" s="2" t="s">
        <v>190</v>
      </c>
      <c r="C140" s="2" t="s">
        <v>32</v>
      </c>
      <c r="D140" s="2" t="s">
        <v>24</v>
      </c>
      <c r="E140" s="2" t="s">
        <v>70</v>
      </c>
      <c r="F140" s="2">
        <v>35862.83</v>
      </c>
      <c r="G140" s="2">
        <v>7</v>
      </c>
      <c r="H140" s="2">
        <v>8456.81</v>
      </c>
      <c r="I140" s="2" t="s">
        <v>40</v>
      </c>
      <c r="J140" s="2">
        <v>2024</v>
      </c>
    </row>
    <row r="141" spans="1:10" x14ac:dyDescent="0.3">
      <c r="A141" s="3">
        <v>45562</v>
      </c>
      <c r="B141" s="2" t="s">
        <v>191</v>
      </c>
      <c r="C141" s="2" t="s">
        <v>64</v>
      </c>
      <c r="D141" s="2" t="s">
        <v>14</v>
      </c>
      <c r="E141" s="2" t="s">
        <v>57</v>
      </c>
      <c r="F141" s="2">
        <v>3678.6</v>
      </c>
      <c r="G141" s="2">
        <v>3</v>
      </c>
      <c r="H141" s="2">
        <v>427.4</v>
      </c>
      <c r="I141" s="2" t="s">
        <v>65</v>
      </c>
      <c r="J141" s="2">
        <v>2024</v>
      </c>
    </row>
    <row r="142" spans="1:10" x14ac:dyDescent="0.3">
      <c r="A142" s="3">
        <v>45818</v>
      </c>
      <c r="B142" s="2" t="s">
        <v>192</v>
      </c>
      <c r="C142" s="2" t="s">
        <v>105</v>
      </c>
      <c r="D142" s="2" t="s">
        <v>14</v>
      </c>
      <c r="E142" s="2" t="s">
        <v>21</v>
      </c>
      <c r="F142" s="2">
        <v>84994.71</v>
      </c>
      <c r="G142" s="2">
        <v>10</v>
      </c>
      <c r="H142" s="2">
        <v>23278.33</v>
      </c>
      <c r="I142" s="2" t="s">
        <v>44</v>
      </c>
      <c r="J142" s="2">
        <v>2025</v>
      </c>
    </row>
    <row r="143" spans="1:10" x14ac:dyDescent="0.3">
      <c r="A143" s="3">
        <v>45771</v>
      </c>
      <c r="B143" s="2" t="s">
        <v>193</v>
      </c>
      <c r="C143" s="2" t="s">
        <v>18</v>
      </c>
      <c r="D143" s="2" t="s">
        <v>24</v>
      </c>
      <c r="E143" s="2" t="s">
        <v>55</v>
      </c>
      <c r="F143" s="2">
        <v>61945.08</v>
      </c>
      <c r="G143" s="2">
        <v>3</v>
      </c>
      <c r="H143" s="2">
        <v>16547.259999999998</v>
      </c>
      <c r="I143" s="2" t="s">
        <v>19</v>
      </c>
      <c r="J143" s="2">
        <v>2025</v>
      </c>
    </row>
    <row r="144" spans="1:10" x14ac:dyDescent="0.3">
      <c r="A144" s="3">
        <v>45509</v>
      </c>
      <c r="B144" s="2" t="s">
        <v>194</v>
      </c>
      <c r="C144" s="2" t="s">
        <v>46</v>
      </c>
      <c r="D144" s="2" t="s">
        <v>9</v>
      </c>
      <c r="E144" s="2" t="s">
        <v>43</v>
      </c>
      <c r="F144" s="2">
        <v>26301.63</v>
      </c>
      <c r="G144" s="2">
        <v>8</v>
      </c>
      <c r="H144" s="2">
        <v>7505.5</v>
      </c>
      <c r="I144" s="2" t="s">
        <v>40</v>
      </c>
      <c r="J144" s="2">
        <v>2024</v>
      </c>
    </row>
    <row r="145" spans="1:10" x14ac:dyDescent="0.3">
      <c r="A145" s="3">
        <v>45589</v>
      </c>
      <c r="B145" s="2" t="s">
        <v>195</v>
      </c>
      <c r="C145" s="2" t="s">
        <v>105</v>
      </c>
      <c r="D145" s="2" t="s">
        <v>24</v>
      </c>
      <c r="E145" s="2" t="s">
        <v>70</v>
      </c>
      <c r="F145" s="2">
        <v>52991.58</v>
      </c>
      <c r="G145" s="2">
        <v>7</v>
      </c>
      <c r="H145" s="2">
        <v>11981.89</v>
      </c>
      <c r="I145" s="2" t="s">
        <v>22</v>
      </c>
      <c r="J145" s="2">
        <v>2024</v>
      </c>
    </row>
    <row r="146" spans="1:10" x14ac:dyDescent="0.3">
      <c r="A146" s="3">
        <v>45834</v>
      </c>
      <c r="B146" s="2" t="s">
        <v>196</v>
      </c>
      <c r="C146" s="2" t="s">
        <v>74</v>
      </c>
      <c r="D146" s="2" t="s">
        <v>9</v>
      </c>
      <c r="E146" s="2" t="s">
        <v>10</v>
      </c>
      <c r="F146" s="2">
        <v>61820.05</v>
      </c>
      <c r="G146" s="2">
        <v>7</v>
      </c>
      <c r="H146" s="2">
        <v>11829.59</v>
      </c>
      <c r="I146" s="2" t="s">
        <v>44</v>
      </c>
      <c r="J146" s="2">
        <v>2025</v>
      </c>
    </row>
    <row r="147" spans="1:10" x14ac:dyDescent="0.3">
      <c r="A147" s="3">
        <v>45702</v>
      </c>
      <c r="B147" s="2" t="s">
        <v>197</v>
      </c>
      <c r="C147" s="2" t="s">
        <v>39</v>
      </c>
      <c r="D147" s="2" t="s">
        <v>24</v>
      </c>
      <c r="E147" s="2" t="s">
        <v>25</v>
      </c>
      <c r="F147" s="2">
        <v>62975.86</v>
      </c>
      <c r="G147" s="2">
        <v>8</v>
      </c>
      <c r="H147" s="2">
        <v>16894.099999999999</v>
      </c>
      <c r="I147" s="2" t="s">
        <v>16</v>
      </c>
      <c r="J147" s="2">
        <v>2025</v>
      </c>
    </row>
    <row r="148" spans="1:10" x14ac:dyDescent="0.3">
      <c r="A148" s="3">
        <v>45660</v>
      </c>
      <c r="B148" s="2" t="s">
        <v>198</v>
      </c>
      <c r="C148" s="2" t="s">
        <v>82</v>
      </c>
      <c r="D148" s="2" t="s">
        <v>24</v>
      </c>
      <c r="E148" s="2" t="s">
        <v>55</v>
      </c>
      <c r="F148" s="2">
        <v>72951</v>
      </c>
      <c r="G148" s="2">
        <v>10</v>
      </c>
      <c r="H148" s="2">
        <v>18888.86</v>
      </c>
      <c r="I148" s="2" t="s">
        <v>61</v>
      </c>
      <c r="J148" s="2">
        <v>2025</v>
      </c>
    </row>
    <row r="149" spans="1:10" x14ac:dyDescent="0.3">
      <c r="A149" s="3">
        <v>45747</v>
      </c>
      <c r="B149" s="2" t="s">
        <v>199</v>
      </c>
      <c r="C149" s="2" t="s">
        <v>84</v>
      </c>
      <c r="D149" s="2" t="s">
        <v>9</v>
      </c>
      <c r="E149" s="2" t="s">
        <v>43</v>
      </c>
      <c r="F149" s="2">
        <v>4622.6899999999996</v>
      </c>
      <c r="G149" s="2">
        <v>10</v>
      </c>
      <c r="H149" s="2">
        <v>396.52</v>
      </c>
      <c r="I149" s="2" t="s">
        <v>68</v>
      </c>
      <c r="J149" s="2">
        <v>2025</v>
      </c>
    </row>
    <row r="150" spans="1:10" x14ac:dyDescent="0.3">
      <c r="A150" s="3">
        <v>45544</v>
      </c>
      <c r="B150" s="2" t="s">
        <v>200</v>
      </c>
      <c r="C150" s="2" t="s">
        <v>28</v>
      </c>
      <c r="D150" s="2" t="s">
        <v>14</v>
      </c>
      <c r="E150" s="2" t="s">
        <v>57</v>
      </c>
      <c r="F150" s="2">
        <v>68484.5</v>
      </c>
      <c r="G150" s="2">
        <v>9</v>
      </c>
      <c r="H150" s="2">
        <v>11043.71</v>
      </c>
      <c r="I150" s="2" t="s">
        <v>65</v>
      </c>
      <c r="J150" s="2">
        <v>2024</v>
      </c>
    </row>
    <row r="151" spans="1:10" x14ac:dyDescent="0.3">
      <c r="A151" s="3">
        <v>45648</v>
      </c>
      <c r="B151" s="2" t="s">
        <v>201</v>
      </c>
      <c r="C151" s="2" t="s">
        <v>42</v>
      </c>
      <c r="D151" s="2" t="s">
        <v>14</v>
      </c>
      <c r="E151" s="2" t="s">
        <v>15</v>
      </c>
      <c r="F151" s="2">
        <v>1925.97</v>
      </c>
      <c r="G151" s="2">
        <v>3</v>
      </c>
      <c r="H151" s="2">
        <v>405.37</v>
      </c>
      <c r="I151" s="2" t="s">
        <v>30</v>
      </c>
      <c r="J151" s="2">
        <v>2024</v>
      </c>
    </row>
    <row r="152" spans="1:10" x14ac:dyDescent="0.3">
      <c r="A152" s="3">
        <v>45685</v>
      </c>
      <c r="B152" s="2" t="s">
        <v>202</v>
      </c>
      <c r="C152" s="2" t="s">
        <v>59</v>
      </c>
      <c r="D152" s="2" t="s">
        <v>24</v>
      </c>
      <c r="E152" s="2" t="s">
        <v>37</v>
      </c>
      <c r="F152" s="2">
        <v>79635.25</v>
      </c>
      <c r="G152" s="2">
        <v>1</v>
      </c>
      <c r="H152" s="2">
        <v>8121.97</v>
      </c>
      <c r="I152" s="2" t="s">
        <v>61</v>
      </c>
      <c r="J152" s="2">
        <v>2025</v>
      </c>
    </row>
    <row r="153" spans="1:10" x14ac:dyDescent="0.3">
      <c r="A153" s="3">
        <v>45590</v>
      </c>
      <c r="B153" s="2" t="s">
        <v>203</v>
      </c>
      <c r="C153" s="2" t="s">
        <v>28</v>
      </c>
      <c r="D153" s="2" t="s">
        <v>9</v>
      </c>
      <c r="E153" s="2" t="s">
        <v>29</v>
      </c>
      <c r="F153" s="2">
        <v>38058.89</v>
      </c>
      <c r="G153" s="2">
        <v>3</v>
      </c>
      <c r="H153" s="2">
        <v>10590.4</v>
      </c>
      <c r="I153" s="2" t="s">
        <v>22</v>
      </c>
      <c r="J153" s="2">
        <v>2024</v>
      </c>
    </row>
    <row r="154" spans="1:10" x14ac:dyDescent="0.3">
      <c r="A154" s="3">
        <v>45766</v>
      </c>
      <c r="B154" s="2" t="s">
        <v>204</v>
      </c>
      <c r="C154" s="2" t="s">
        <v>46</v>
      </c>
      <c r="D154" s="2" t="s">
        <v>9</v>
      </c>
      <c r="E154" s="2" t="s">
        <v>29</v>
      </c>
      <c r="F154" s="2">
        <v>70097.17</v>
      </c>
      <c r="G154" s="2">
        <v>1</v>
      </c>
      <c r="H154" s="2">
        <v>10167.879999999999</v>
      </c>
      <c r="I154" s="2" t="s">
        <v>19</v>
      </c>
      <c r="J154" s="2">
        <v>2025</v>
      </c>
    </row>
    <row r="155" spans="1:10" x14ac:dyDescent="0.3">
      <c r="A155" s="3">
        <v>45834</v>
      </c>
      <c r="B155" s="2" t="s">
        <v>205</v>
      </c>
      <c r="C155" s="2" t="s">
        <v>39</v>
      </c>
      <c r="D155" s="2" t="s">
        <v>14</v>
      </c>
      <c r="E155" s="2" t="s">
        <v>57</v>
      </c>
      <c r="F155" s="2">
        <v>34010.51</v>
      </c>
      <c r="G155" s="2">
        <v>6</v>
      </c>
      <c r="H155" s="2">
        <v>2529.21</v>
      </c>
      <c r="I155" s="2" t="s">
        <v>44</v>
      </c>
      <c r="J155" s="2">
        <v>2025</v>
      </c>
    </row>
    <row r="156" spans="1:10" x14ac:dyDescent="0.3">
      <c r="A156" s="3">
        <v>45698</v>
      </c>
      <c r="B156" s="2" t="s">
        <v>80</v>
      </c>
      <c r="C156" s="2" t="s">
        <v>42</v>
      </c>
      <c r="D156" s="2" t="s">
        <v>24</v>
      </c>
      <c r="E156" s="2" t="s">
        <v>25</v>
      </c>
      <c r="F156" s="2">
        <v>77346.31</v>
      </c>
      <c r="G156" s="2">
        <v>5</v>
      </c>
      <c r="H156" s="2">
        <v>12625.36</v>
      </c>
      <c r="I156" s="2" t="s">
        <v>16</v>
      </c>
      <c r="J156" s="2">
        <v>2025</v>
      </c>
    </row>
    <row r="157" spans="1:10" x14ac:dyDescent="0.3">
      <c r="A157" s="3">
        <v>45539</v>
      </c>
      <c r="B157" s="2" t="s">
        <v>206</v>
      </c>
      <c r="C157" s="2" t="s">
        <v>42</v>
      </c>
      <c r="D157" s="2" t="s">
        <v>24</v>
      </c>
      <c r="E157" s="2" t="s">
        <v>25</v>
      </c>
      <c r="F157" s="2">
        <v>61931.78</v>
      </c>
      <c r="G157" s="2">
        <v>5</v>
      </c>
      <c r="H157" s="2">
        <v>13860.87</v>
      </c>
      <c r="I157" s="2" t="s">
        <v>65</v>
      </c>
      <c r="J157" s="2">
        <v>2024</v>
      </c>
    </row>
    <row r="158" spans="1:10" x14ac:dyDescent="0.3">
      <c r="A158" s="3">
        <v>45523</v>
      </c>
      <c r="B158" s="2" t="s">
        <v>207</v>
      </c>
      <c r="C158" s="2" t="s">
        <v>72</v>
      </c>
      <c r="D158" s="2" t="s">
        <v>24</v>
      </c>
      <c r="E158" s="2" t="s">
        <v>37</v>
      </c>
      <c r="F158" s="2">
        <v>41527.17</v>
      </c>
      <c r="G158" s="2">
        <v>5</v>
      </c>
      <c r="H158" s="2">
        <v>11859.54</v>
      </c>
      <c r="I158" s="2" t="s">
        <v>40</v>
      </c>
      <c r="J158" s="2">
        <v>2024</v>
      </c>
    </row>
    <row r="159" spans="1:10" x14ac:dyDescent="0.3">
      <c r="A159" s="3">
        <v>45733</v>
      </c>
      <c r="B159" s="2" t="s">
        <v>208</v>
      </c>
      <c r="C159" s="2" t="s">
        <v>32</v>
      </c>
      <c r="D159" s="2" t="s">
        <v>9</v>
      </c>
      <c r="E159" s="2" t="s">
        <v>10</v>
      </c>
      <c r="F159" s="2">
        <v>14560.59</v>
      </c>
      <c r="G159" s="2">
        <v>4</v>
      </c>
      <c r="H159" s="2">
        <v>3127.03</v>
      </c>
      <c r="I159" s="2" t="s">
        <v>68</v>
      </c>
      <c r="J159" s="2">
        <v>2025</v>
      </c>
    </row>
    <row r="160" spans="1:10" x14ac:dyDescent="0.3">
      <c r="A160" s="3">
        <v>45788</v>
      </c>
      <c r="B160" s="2" t="s">
        <v>209</v>
      </c>
      <c r="C160" s="2" t="s">
        <v>28</v>
      </c>
      <c r="D160" s="2" t="s">
        <v>9</v>
      </c>
      <c r="E160" s="2" t="s">
        <v>43</v>
      </c>
      <c r="F160" s="2">
        <v>63626.16</v>
      </c>
      <c r="G160" s="2">
        <v>3</v>
      </c>
      <c r="H160" s="2">
        <v>4111.91</v>
      </c>
      <c r="I160" s="2" t="s">
        <v>11</v>
      </c>
      <c r="J160" s="2">
        <v>2025</v>
      </c>
    </row>
    <row r="161" spans="1:10" x14ac:dyDescent="0.3">
      <c r="A161" s="3">
        <v>45655</v>
      </c>
      <c r="B161" s="2" t="s">
        <v>210</v>
      </c>
      <c r="C161" s="2" t="s">
        <v>72</v>
      </c>
      <c r="D161" s="2" t="s">
        <v>14</v>
      </c>
      <c r="E161" s="2" t="s">
        <v>57</v>
      </c>
      <c r="F161" s="2">
        <v>51061.279999999999</v>
      </c>
      <c r="G161" s="2">
        <v>9</v>
      </c>
      <c r="H161" s="2">
        <v>5419.82</v>
      </c>
      <c r="I161" s="2" t="s">
        <v>30</v>
      </c>
      <c r="J161" s="2">
        <v>2024</v>
      </c>
    </row>
    <row r="162" spans="1:10" x14ac:dyDescent="0.3">
      <c r="A162" s="3">
        <v>45854</v>
      </c>
      <c r="B162" s="2" t="s">
        <v>211</v>
      </c>
      <c r="C162" s="2" t="s">
        <v>105</v>
      </c>
      <c r="D162" s="2" t="s">
        <v>9</v>
      </c>
      <c r="E162" s="2" t="s">
        <v>10</v>
      </c>
      <c r="F162" s="2">
        <v>24107.88</v>
      </c>
      <c r="G162" s="2">
        <v>9</v>
      </c>
      <c r="H162" s="2">
        <v>5477.24</v>
      </c>
      <c r="I162" s="2" t="s">
        <v>26</v>
      </c>
      <c r="J162" s="2">
        <v>2025</v>
      </c>
    </row>
    <row r="163" spans="1:10" x14ac:dyDescent="0.3">
      <c r="A163" s="3">
        <v>45606</v>
      </c>
      <c r="B163" s="2" t="s">
        <v>212</v>
      </c>
      <c r="C163" s="2" t="s">
        <v>39</v>
      </c>
      <c r="D163" s="2" t="s">
        <v>14</v>
      </c>
      <c r="E163" s="2" t="s">
        <v>21</v>
      </c>
      <c r="F163" s="2">
        <v>15265.06</v>
      </c>
      <c r="G163" s="2">
        <v>2</v>
      </c>
      <c r="H163" s="2">
        <v>3300.97</v>
      </c>
      <c r="I163" s="2" t="s">
        <v>47</v>
      </c>
      <c r="J163" s="2">
        <v>2024</v>
      </c>
    </row>
    <row r="164" spans="1:10" x14ac:dyDescent="0.3">
      <c r="A164" s="3">
        <v>45635</v>
      </c>
      <c r="B164" s="2" t="s">
        <v>213</v>
      </c>
      <c r="C164" s="2" t="s">
        <v>32</v>
      </c>
      <c r="D164" s="2" t="s">
        <v>9</v>
      </c>
      <c r="E164" s="2" t="s">
        <v>43</v>
      </c>
      <c r="F164" s="2">
        <v>62863.15</v>
      </c>
      <c r="G164" s="2">
        <v>5</v>
      </c>
      <c r="H164" s="2">
        <v>6920.53</v>
      </c>
      <c r="I164" s="2" t="s">
        <v>30</v>
      </c>
      <c r="J164" s="2">
        <v>2024</v>
      </c>
    </row>
    <row r="165" spans="1:10" x14ac:dyDescent="0.3">
      <c r="A165" s="3">
        <v>45685</v>
      </c>
      <c r="B165" s="2" t="s">
        <v>214</v>
      </c>
      <c r="C165" s="2" t="s">
        <v>84</v>
      </c>
      <c r="D165" s="2" t="s">
        <v>24</v>
      </c>
      <c r="E165" s="2" t="s">
        <v>37</v>
      </c>
      <c r="F165" s="2">
        <v>46291.67</v>
      </c>
      <c r="G165" s="2">
        <v>4</v>
      </c>
      <c r="H165" s="2">
        <v>3679.67</v>
      </c>
      <c r="I165" s="2" t="s">
        <v>61</v>
      </c>
      <c r="J165" s="2">
        <v>2025</v>
      </c>
    </row>
    <row r="166" spans="1:10" x14ac:dyDescent="0.3">
      <c r="A166" s="3">
        <v>45737</v>
      </c>
      <c r="B166" s="2" t="s">
        <v>215</v>
      </c>
      <c r="C166" s="2" t="s">
        <v>50</v>
      </c>
      <c r="D166" s="2" t="s">
        <v>24</v>
      </c>
      <c r="E166" s="2" t="s">
        <v>25</v>
      </c>
      <c r="F166" s="2">
        <v>56825.63</v>
      </c>
      <c r="G166" s="2">
        <v>10</v>
      </c>
      <c r="H166" s="2">
        <v>12260</v>
      </c>
      <c r="I166" s="2" t="s">
        <v>68</v>
      </c>
      <c r="J166" s="2">
        <v>2025</v>
      </c>
    </row>
    <row r="167" spans="1:10" x14ac:dyDescent="0.3">
      <c r="A167" s="3">
        <v>45730</v>
      </c>
      <c r="B167" s="2" t="s">
        <v>216</v>
      </c>
      <c r="C167" s="2" t="s">
        <v>42</v>
      </c>
      <c r="D167" s="2" t="s">
        <v>9</v>
      </c>
      <c r="E167" s="2" t="s">
        <v>29</v>
      </c>
      <c r="F167" s="2">
        <v>31700.34</v>
      </c>
      <c r="G167" s="2">
        <v>5</v>
      </c>
      <c r="H167" s="2">
        <v>8287.9</v>
      </c>
      <c r="I167" s="2" t="s">
        <v>68</v>
      </c>
      <c r="J167" s="2">
        <v>2025</v>
      </c>
    </row>
    <row r="168" spans="1:10" x14ac:dyDescent="0.3">
      <c r="A168" s="3">
        <v>45496</v>
      </c>
      <c r="B168" s="2" t="s">
        <v>217</v>
      </c>
      <c r="C168" s="2" t="s">
        <v>82</v>
      </c>
      <c r="D168" s="2" t="s">
        <v>9</v>
      </c>
      <c r="E168" s="2" t="s">
        <v>35</v>
      </c>
      <c r="F168" s="2">
        <v>99647.88</v>
      </c>
      <c r="G168" s="2">
        <v>8</v>
      </c>
      <c r="H168" s="2">
        <v>19393.77</v>
      </c>
      <c r="I168" s="2" t="s">
        <v>26</v>
      </c>
      <c r="J168" s="2">
        <v>2024</v>
      </c>
    </row>
    <row r="169" spans="1:10" x14ac:dyDescent="0.3">
      <c r="A169" s="3">
        <v>45795</v>
      </c>
      <c r="B169" s="2" t="s">
        <v>218</v>
      </c>
      <c r="C169" s="2" t="s">
        <v>105</v>
      </c>
      <c r="D169" s="2" t="s">
        <v>14</v>
      </c>
      <c r="E169" s="2" t="s">
        <v>57</v>
      </c>
      <c r="F169" s="2">
        <v>53071.21</v>
      </c>
      <c r="G169" s="2">
        <v>8</v>
      </c>
      <c r="H169" s="2">
        <v>4850.57</v>
      </c>
      <c r="I169" s="2" t="s">
        <v>11</v>
      </c>
      <c r="J169" s="2">
        <v>2025</v>
      </c>
    </row>
    <row r="170" spans="1:10" x14ac:dyDescent="0.3">
      <c r="A170" s="3">
        <v>45779</v>
      </c>
      <c r="B170" s="2" t="s">
        <v>219</v>
      </c>
      <c r="C170" s="2" t="s">
        <v>39</v>
      </c>
      <c r="D170" s="2" t="s">
        <v>14</v>
      </c>
      <c r="E170" s="2" t="s">
        <v>21</v>
      </c>
      <c r="F170" s="2">
        <v>35126.68</v>
      </c>
      <c r="G170" s="2">
        <v>3</v>
      </c>
      <c r="H170" s="2">
        <v>6102.15</v>
      </c>
      <c r="I170" s="2" t="s">
        <v>11</v>
      </c>
      <c r="J170" s="2">
        <v>2025</v>
      </c>
    </row>
    <row r="171" spans="1:10" x14ac:dyDescent="0.3">
      <c r="A171" s="3">
        <v>45546</v>
      </c>
      <c r="B171" s="2" t="s">
        <v>220</v>
      </c>
      <c r="C171" s="2" t="s">
        <v>105</v>
      </c>
      <c r="D171" s="2" t="s">
        <v>14</v>
      </c>
      <c r="E171" s="2" t="s">
        <v>21</v>
      </c>
      <c r="F171" s="2">
        <v>87771.65</v>
      </c>
      <c r="G171" s="2">
        <v>1</v>
      </c>
      <c r="H171" s="2">
        <v>8124.47</v>
      </c>
      <c r="I171" s="2" t="s">
        <v>65</v>
      </c>
      <c r="J171" s="2">
        <v>2024</v>
      </c>
    </row>
    <row r="172" spans="1:10" x14ac:dyDescent="0.3">
      <c r="A172" s="3">
        <v>45856</v>
      </c>
      <c r="B172" s="2" t="s">
        <v>221</v>
      </c>
      <c r="C172" s="2" t="s">
        <v>59</v>
      </c>
      <c r="D172" s="2" t="s">
        <v>9</v>
      </c>
      <c r="E172" s="2" t="s">
        <v>29</v>
      </c>
      <c r="F172" s="2">
        <v>87403.85</v>
      </c>
      <c r="G172" s="2">
        <v>1</v>
      </c>
      <c r="H172" s="2">
        <v>13694.53</v>
      </c>
      <c r="I172" s="2" t="s">
        <v>26</v>
      </c>
      <c r="J172" s="2">
        <v>2025</v>
      </c>
    </row>
    <row r="173" spans="1:10" x14ac:dyDescent="0.3">
      <c r="A173" s="3">
        <v>45794</v>
      </c>
      <c r="B173" s="2" t="s">
        <v>222</v>
      </c>
      <c r="C173" s="2" t="s">
        <v>34</v>
      </c>
      <c r="D173" s="2" t="s">
        <v>9</v>
      </c>
      <c r="E173" s="2" t="s">
        <v>29</v>
      </c>
      <c r="F173" s="2">
        <v>42591.199999999997</v>
      </c>
      <c r="G173" s="2">
        <v>9</v>
      </c>
      <c r="H173" s="2">
        <v>10097.16</v>
      </c>
      <c r="I173" s="2" t="s">
        <v>11</v>
      </c>
      <c r="J173" s="2">
        <v>2025</v>
      </c>
    </row>
    <row r="174" spans="1:10" x14ac:dyDescent="0.3">
      <c r="A174" s="3">
        <v>45777</v>
      </c>
      <c r="B174" s="2" t="s">
        <v>223</v>
      </c>
      <c r="C174" s="2" t="s">
        <v>8</v>
      </c>
      <c r="D174" s="2" t="s">
        <v>24</v>
      </c>
      <c r="E174" s="2" t="s">
        <v>55</v>
      </c>
      <c r="F174" s="2">
        <v>94479.54</v>
      </c>
      <c r="G174" s="2">
        <v>9</v>
      </c>
      <c r="H174" s="2">
        <v>20224.22</v>
      </c>
      <c r="I174" s="2" t="s">
        <v>19</v>
      </c>
      <c r="J174" s="2">
        <v>2025</v>
      </c>
    </row>
    <row r="175" spans="1:10" x14ac:dyDescent="0.3">
      <c r="A175" s="3">
        <v>45592</v>
      </c>
      <c r="B175" s="2" t="s">
        <v>224</v>
      </c>
      <c r="C175" s="2" t="s">
        <v>28</v>
      </c>
      <c r="D175" s="2" t="s">
        <v>14</v>
      </c>
      <c r="E175" s="2" t="s">
        <v>57</v>
      </c>
      <c r="F175" s="2">
        <v>15169.8</v>
      </c>
      <c r="G175" s="2">
        <v>7</v>
      </c>
      <c r="H175" s="2">
        <v>2459.41</v>
      </c>
      <c r="I175" s="2" t="s">
        <v>22</v>
      </c>
      <c r="J175" s="2">
        <v>2024</v>
      </c>
    </row>
    <row r="176" spans="1:10" x14ac:dyDescent="0.3">
      <c r="A176" s="3">
        <v>45799</v>
      </c>
      <c r="B176" s="2" t="s">
        <v>225</v>
      </c>
      <c r="C176" s="2" t="s">
        <v>42</v>
      </c>
      <c r="D176" s="2" t="s">
        <v>24</v>
      </c>
      <c r="E176" s="2" t="s">
        <v>37</v>
      </c>
      <c r="F176" s="2">
        <v>82361.87</v>
      </c>
      <c r="G176" s="2">
        <v>9</v>
      </c>
      <c r="H176" s="2">
        <v>19261.830000000002</v>
      </c>
      <c r="I176" s="2" t="s">
        <v>11</v>
      </c>
      <c r="J176" s="2">
        <v>2025</v>
      </c>
    </row>
    <row r="177" spans="1:10" x14ac:dyDescent="0.3">
      <c r="A177" s="3">
        <v>45539</v>
      </c>
      <c r="B177" s="2" t="s">
        <v>226</v>
      </c>
      <c r="C177" s="2" t="s">
        <v>13</v>
      </c>
      <c r="D177" s="2" t="s">
        <v>9</v>
      </c>
      <c r="E177" s="2" t="s">
        <v>43</v>
      </c>
      <c r="F177" s="2">
        <v>7490.58</v>
      </c>
      <c r="G177" s="2">
        <v>8</v>
      </c>
      <c r="H177" s="2">
        <v>2045.89</v>
      </c>
      <c r="I177" s="2" t="s">
        <v>65</v>
      </c>
      <c r="J177" s="2">
        <v>2024</v>
      </c>
    </row>
    <row r="178" spans="1:10" x14ac:dyDescent="0.3">
      <c r="A178" s="3">
        <v>45515</v>
      </c>
      <c r="B178" s="2" t="s">
        <v>227</v>
      </c>
      <c r="C178" s="2" t="s">
        <v>8</v>
      </c>
      <c r="D178" s="2" t="s">
        <v>14</v>
      </c>
      <c r="E178" s="2" t="s">
        <v>21</v>
      </c>
      <c r="F178" s="2">
        <v>62111.93</v>
      </c>
      <c r="G178" s="2">
        <v>5</v>
      </c>
      <c r="H178" s="2">
        <v>7129.18</v>
      </c>
      <c r="I178" s="2" t="s">
        <v>40</v>
      </c>
      <c r="J178" s="2">
        <v>2024</v>
      </c>
    </row>
    <row r="179" spans="1:10" x14ac:dyDescent="0.3">
      <c r="A179" s="3">
        <v>45642</v>
      </c>
      <c r="B179" s="2" t="s">
        <v>228</v>
      </c>
      <c r="C179" s="2" t="s">
        <v>34</v>
      </c>
      <c r="D179" s="2" t="s">
        <v>14</v>
      </c>
      <c r="E179" s="2" t="s">
        <v>57</v>
      </c>
      <c r="F179" s="2">
        <v>7533.28</v>
      </c>
      <c r="G179" s="2">
        <v>3</v>
      </c>
      <c r="H179" s="2">
        <v>2233.3000000000002</v>
      </c>
      <c r="I179" s="2" t="s">
        <v>30</v>
      </c>
      <c r="J179" s="2">
        <v>2024</v>
      </c>
    </row>
    <row r="180" spans="1:10" x14ac:dyDescent="0.3">
      <c r="A180" s="3">
        <v>45740</v>
      </c>
      <c r="B180" s="2" t="s">
        <v>229</v>
      </c>
      <c r="C180" s="2" t="s">
        <v>59</v>
      </c>
      <c r="D180" s="2" t="s">
        <v>14</v>
      </c>
      <c r="E180" s="2" t="s">
        <v>15</v>
      </c>
      <c r="F180" s="2">
        <v>8658.64</v>
      </c>
      <c r="G180" s="2">
        <v>8</v>
      </c>
      <c r="H180" s="2">
        <v>1565.34</v>
      </c>
      <c r="I180" s="2" t="s">
        <v>68</v>
      </c>
      <c r="J180" s="2">
        <v>2025</v>
      </c>
    </row>
    <row r="181" spans="1:10" x14ac:dyDescent="0.3">
      <c r="A181" s="3">
        <v>45552</v>
      </c>
      <c r="B181" s="2" t="s">
        <v>230</v>
      </c>
      <c r="C181" s="2" t="s">
        <v>54</v>
      </c>
      <c r="D181" s="2" t="s">
        <v>14</v>
      </c>
      <c r="E181" s="2" t="s">
        <v>15</v>
      </c>
      <c r="F181" s="2">
        <v>89090.97</v>
      </c>
      <c r="G181" s="2">
        <v>1</v>
      </c>
      <c r="H181" s="2">
        <v>8650.67</v>
      </c>
      <c r="I181" s="2" t="s">
        <v>65</v>
      </c>
      <c r="J181" s="2">
        <v>2024</v>
      </c>
    </row>
    <row r="182" spans="1:10" x14ac:dyDescent="0.3">
      <c r="A182" s="3">
        <v>45679</v>
      </c>
      <c r="B182" s="2" t="s">
        <v>231</v>
      </c>
      <c r="C182" s="2" t="s">
        <v>34</v>
      </c>
      <c r="D182" s="2" t="s">
        <v>14</v>
      </c>
      <c r="E182" s="2" t="s">
        <v>21</v>
      </c>
      <c r="F182" s="2">
        <v>85234.91</v>
      </c>
      <c r="G182" s="2">
        <v>3</v>
      </c>
      <c r="H182" s="2">
        <v>9298.68</v>
      </c>
      <c r="I182" s="2" t="s">
        <v>61</v>
      </c>
      <c r="J182" s="2">
        <v>2025</v>
      </c>
    </row>
    <row r="183" spans="1:10" x14ac:dyDescent="0.3">
      <c r="A183" s="3">
        <v>45757</v>
      </c>
      <c r="B183" s="2" t="s">
        <v>232</v>
      </c>
      <c r="C183" s="2" t="s">
        <v>18</v>
      </c>
      <c r="D183" s="2" t="s">
        <v>14</v>
      </c>
      <c r="E183" s="2" t="s">
        <v>75</v>
      </c>
      <c r="F183" s="2">
        <v>48884.42</v>
      </c>
      <c r="G183" s="2">
        <v>4</v>
      </c>
      <c r="H183" s="2">
        <v>10882.82</v>
      </c>
      <c r="I183" s="2" t="s">
        <v>19</v>
      </c>
      <c r="J183" s="2">
        <v>2025</v>
      </c>
    </row>
    <row r="184" spans="1:10" x14ac:dyDescent="0.3">
      <c r="A184" s="3">
        <v>45577</v>
      </c>
      <c r="B184" s="2" t="s">
        <v>233</v>
      </c>
      <c r="C184" s="2" t="s">
        <v>28</v>
      </c>
      <c r="D184" s="2" t="s">
        <v>14</v>
      </c>
      <c r="E184" s="2" t="s">
        <v>75</v>
      </c>
      <c r="F184" s="2">
        <v>98231.76</v>
      </c>
      <c r="G184" s="2">
        <v>8</v>
      </c>
      <c r="H184" s="2">
        <v>8114.62</v>
      </c>
      <c r="I184" s="2" t="s">
        <v>22</v>
      </c>
      <c r="J184" s="2">
        <v>2024</v>
      </c>
    </row>
    <row r="185" spans="1:10" x14ac:dyDescent="0.3">
      <c r="A185" s="1"/>
    </row>
    <row r="186" spans="1:10" x14ac:dyDescent="0.3">
      <c r="A186" s="1"/>
    </row>
    <row r="187" spans="1:10" x14ac:dyDescent="0.3">
      <c r="A187" s="1"/>
    </row>
    <row r="188" spans="1:10" x14ac:dyDescent="0.3">
      <c r="A188" s="1"/>
    </row>
    <row r="189" spans="1:10" x14ac:dyDescent="0.3">
      <c r="A189" s="1"/>
    </row>
    <row r="190" spans="1:10" x14ac:dyDescent="0.3">
      <c r="A190" s="1"/>
    </row>
    <row r="191" spans="1:10" x14ac:dyDescent="0.3">
      <c r="A191" s="1"/>
    </row>
    <row r="192" spans="1:10" x14ac:dyDescent="0.3">
      <c r="A192" s="1"/>
    </row>
    <row r="193" spans="1:1" x14ac:dyDescent="0.3">
      <c r="A193" s="1"/>
    </row>
    <row r="194" spans="1:1" x14ac:dyDescent="0.3">
      <c r="A194" s="1"/>
    </row>
    <row r="195" spans="1:1" x14ac:dyDescent="0.3">
      <c r="A195" s="1"/>
    </row>
    <row r="196" spans="1:1" x14ac:dyDescent="0.3">
      <c r="A196" s="1"/>
    </row>
    <row r="197" spans="1:1" x14ac:dyDescent="0.3">
      <c r="A197" s="1"/>
    </row>
    <row r="198" spans="1:1" x14ac:dyDescent="0.3">
      <c r="A198" s="1"/>
    </row>
    <row r="199" spans="1:1" x14ac:dyDescent="0.3">
      <c r="A199" s="1"/>
    </row>
    <row r="200" spans="1:1" x14ac:dyDescent="0.3">
      <c r="A200" s="1"/>
    </row>
    <row r="201" spans="1:1" x14ac:dyDescent="0.3">
      <c r="A201" s="1"/>
    </row>
    <row r="202" spans="1:1" x14ac:dyDescent="0.3">
      <c r="A202" s="1"/>
    </row>
    <row r="203" spans="1:1" x14ac:dyDescent="0.3">
      <c r="A203" s="1"/>
    </row>
    <row r="204" spans="1:1" x14ac:dyDescent="0.3">
      <c r="A204" s="1"/>
    </row>
    <row r="205" spans="1:1" x14ac:dyDescent="0.3">
      <c r="A205" s="1"/>
    </row>
    <row r="206" spans="1:1" x14ac:dyDescent="0.3">
      <c r="A206" s="1"/>
    </row>
    <row r="207" spans="1:1" x14ac:dyDescent="0.3">
      <c r="A207" s="1"/>
    </row>
    <row r="208" spans="1:1" x14ac:dyDescent="0.3">
      <c r="A208" s="1"/>
    </row>
    <row r="209" spans="1:1" x14ac:dyDescent="0.3">
      <c r="A209" s="1"/>
    </row>
    <row r="210" spans="1:1" x14ac:dyDescent="0.3">
      <c r="A210" s="1"/>
    </row>
    <row r="211" spans="1:1" x14ac:dyDescent="0.3">
      <c r="A211" s="1"/>
    </row>
    <row r="212" spans="1:1" x14ac:dyDescent="0.3">
      <c r="A212" s="1"/>
    </row>
    <row r="213" spans="1:1" x14ac:dyDescent="0.3">
      <c r="A213" s="1"/>
    </row>
    <row r="214" spans="1:1" x14ac:dyDescent="0.3">
      <c r="A214" s="1"/>
    </row>
    <row r="215" spans="1:1" x14ac:dyDescent="0.3">
      <c r="A215" s="1"/>
    </row>
    <row r="216" spans="1:1" x14ac:dyDescent="0.3">
      <c r="A216" s="1"/>
    </row>
    <row r="217" spans="1:1" x14ac:dyDescent="0.3">
      <c r="A217" s="1"/>
    </row>
    <row r="218" spans="1:1" x14ac:dyDescent="0.3">
      <c r="A218" s="1"/>
    </row>
    <row r="219" spans="1:1" x14ac:dyDescent="0.3">
      <c r="A219" s="1"/>
    </row>
    <row r="220" spans="1:1" x14ac:dyDescent="0.3">
      <c r="A220" s="1"/>
    </row>
    <row r="221" spans="1:1" x14ac:dyDescent="0.3">
      <c r="A221" s="1"/>
    </row>
    <row r="222" spans="1:1" x14ac:dyDescent="0.3">
      <c r="A222" s="1"/>
    </row>
    <row r="223" spans="1:1" x14ac:dyDescent="0.3">
      <c r="A223" s="1"/>
    </row>
    <row r="224" spans="1:1" x14ac:dyDescent="0.3">
      <c r="A224" s="1"/>
    </row>
    <row r="225" spans="1:1" x14ac:dyDescent="0.3">
      <c r="A225" s="1"/>
    </row>
    <row r="226" spans="1:1" x14ac:dyDescent="0.3">
      <c r="A226" s="1"/>
    </row>
    <row r="227" spans="1:1" x14ac:dyDescent="0.3">
      <c r="A227" s="1"/>
    </row>
    <row r="228" spans="1:1" x14ac:dyDescent="0.3">
      <c r="A228" s="1"/>
    </row>
    <row r="229" spans="1:1" x14ac:dyDescent="0.3">
      <c r="A229" s="1"/>
    </row>
    <row r="230" spans="1:1" x14ac:dyDescent="0.3">
      <c r="A230" s="1"/>
    </row>
    <row r="231" spans="1:1" x14ac:dyDescent="0.3">
      <c r="A231" s="1"/>
    </row>
    <row r="232" spans="1:1" x14ac:dyDescent="0.3">
      <c r="A232" s="1"/>
    </row>
    <row r="233" spans="1:1" x14ac:dyDescent="0.3">
      <c r="A233" s="1"/>
    </row>
    <row r="234" spans="1:1" x14ac:dyDescent="0.3">
      <c r="A234" s="1"/>
    </row>
    <row r="235" spans="1:1" x14ac:dyDescent="0.3">
      <c r="A235" s="1"/>
    </row>
    <row r="236" spans="1:1" x14ac:dyDescent="0.3">
      <c r="A236" s="1"/>
    </row>
    <row r="237" spans="1:1" x14ac:dyDescent="0.3">
      <c r="A237" s="1"/>
    </row>
    <row r="238" spans="1:1" x14ac:dyDescent="0.3">
      <c r="A238" s="1"/>
    </row>
    <row r="239" spans="1:1" x14ac:dyDescent="0.3">
      <c r="A239" s="1"/>
    </row>
    <row r="240" spans="1:1" x14ac:dyDescent="0.3">
      <c r="A240" s="1"/>
    </row>
    <row r="241" spans="1:1" x14ac:dyDescent="0.3">
      <c r="A241" s="1"/>
    </row>
    <row r="242" spans="1:1" x14ac:dyDescent="0.3">
      <c r="A242" s="1"/>
    </row>
    <row r="243" spans="1:1" x14ac:dyDescent="0.3">
      <c r="A243" s="1"/>
    </row>
    <row r="244" spans="1:1" x14ac:dyDescent="0.3">
      <c r="A244" s="1"/>
    </row>
    <row r="245" spans="1:1" x14ac:dyDescent="0.3">
      <c r="A245" s="1"/>
    </row>
    <row r="246" spans="1:1" x14ac:dyDescent="0.3">
      <c r="A246" s="1"/>
    </row>
    <row r="247" spans="1:1" x14ac:dyDescent="0.3">
      <c r="A247" s="1"/>
    </row>
    <row r="248" spans="1:1" x14ac:dyDescent="0.3">
      <c r="A248" s="1"/>
    </row>
    <row r="249" spans="1:1" x14ac:dyDescent="0.3">
      <c r="A249" s="1"/>
    </row>
    <row r="250" spans="1:1" x14ac:dyDescent="0.3">
      <c r="A250" s="1"/>
    </row>
    <row r="251" spans="1:1" x14ac:dyDescent="0.3">
      <c r="A25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1F2F-56B9-4E45-AE0D-A65844259BC3}">
  <dimension ref="A2:T29"/>
  <sheetViews>
    <sheetView topLeftCell="J1" zoomScale="102" zoomScaleNormal="85" workbookViewId="0">
      <selection activeCell="S2" sqref="S2:T16"/>
    </sheetView>
  </sheetViews>
  <sheetFormatPr defaultRowHeight="14.4" x14ac:dyDescent="0.3"/>
  <cols>
    <col min="1" max="1" width="12.5546875" bestFit="1" customWidth="1"/>
    <col min="2" max="2" width="14.77734375" bestFit="1" customWidth="1"/>
    <col min="3" max="3" width="12.88671875" bestFit="1" customWidth="1"/>
    <col min="4" max="4" width="15.5546875" bestFit="1" customWidth="1"/>
    <col min="5" max="5" width="14" bestFit="1" customWidth="1"/>
    <col min="6" max="6" width="11" bestFit="1" customWidth="1"/>
    <col min="7" max="7" width="12.109375" bestFit="1" customWidth="1"/>
    <col min="10" max="10" width="12.88671875" bestFit="1" customWidth="1"/>
    <col min="11" max="11" width="22.88671875" bestFit="1" customWidth="1"/>
    <col min="13" max="13" width="15.21875" bestFit="1" customWidth="1"/>
    <col min="14" max="14" width="12.109375" bestFit="1" customWidth="1"/>
    <col min="16" max="16" width="15" bestFit="1" customWidth="1"/>
    <col min="17" max="17" width="12.6640625" bestFit="1" customWidth="1"/>
    <col min="19" max="19" width="12.88671875" bestFit="1" customWidth="1"/>
    <col min="20" max="20" width="12.109375" bestFit="1" customWidth="1"/>
  </cols>
  <sheetData>
    <row r="2" spans="1:20" x14ac:dyDescent="0.3">
      <c r="A2" s="7" t="s">
        <v>241</v>
      </c>
      <c r="J2" s="7" t="s">
        <v>244</v>
      </c>
      <c r="K2" s="7"/>
      <c r="M2" s="7" t="s">
        <v>246</v>
      </c>
      <c r="N2" s="8"/>
      <c r="P2" s="7" t="s">
        <v>248</v>
      </c>
      <c r="Q2" s="7"/>
      <c r="S2" s="7" t="s">
        <v>249</v>
      </c>
      <c r="T2" s="8"/>
    </row>
    <row r="3" spans="1:20" x14ac:dyDescent="0.3">
      <c r="A3" s="6" t="s">
        <v>236</v>
      </c>
      <c r="J3" s="4" t="s">
        <v>239</v>
      </c>
      <c r="K3" t="s">
        <v>245</v>
      </c>
      <c r="M3" s="4" t="s">
        <v>239</v>
      </c>
      <c r="N3" t="s">
        <v>236</v>
      </c>
      <c r="P3" s="4" t="s">
        <v>239</v>
      </c>
      <c r="Q3" t="s">
        <v>237</v>
      </c>
      <c r="S3" s="4" t="s">
        <v>239</v>
      </c>
      <c r="T3" t="s">
        <v>236</v>
      </c>
    </row>
    <row r="4" spans="1:20" x14ac:dyDescent="0.3">
      <c r="A4" s="6">
        <v>9675232.1400000043</v>
      </c>
      <c r="B4" s="9">
        <f>GETPIVOTDATA("sales",$A$3)</f>
        <v>9675232.1400000043</v>
      </c>
      <c r="D4" s="7" t="s">
        <v>243</v>
      </c>
      <c r="E4" s="7"/>
      <c r="J4" s="5">
        <v>2023</v>
      </c>
      <c r="K4" s="11">
        <v>4</v>
      </c>
      <c r="M4" s="5" t="s">
        <v>13</v>
      </c>
      <c r="N4" s="6">
        <v>609189.77</v>
      </c>
      <c r="P4" s="5" t="s">
        <v>124</v>
      </c>
      <c r="Q4" s="6">
        <v>21693.57</v>
      </c>
      <c r="S4" s="5" t="s">
        <v>61</v>
      </c>
      <c r="T4" s="6">
        <v>825104.52</v>
      </c>
    </row>
    <row r="5" spans="1:20" x14ac:dyDescent="0.3">
      <c r="D5" s="4" t="s">
        <v>239</v>
      </c>
      <c r="E5" t="s">
        <v>236</v>
      </c>
      <c r="F5" t="s">
        <v>252</v>
      </c>
      <c r="G5" t="s">
        <v>251</v>
      </c>
      <c r="J5" s="5">
        <v>2024</v>
      </c>
      <c r="K5" s="11">
        <v>85</v>
      </c>
      <c r="M5" s="5" t="s">
        <v>82</v>
      </c>
      <c r="N5" s="6">
        <v>642401.62</v>
      </c>
      <c r="P5" s="5" t="s">
        <v>83</v>
      </c>
      <c r="Q5" s="6">
        <v>22364.41</v>
      </c>
      <c r="S5" s="5" t="s">
        <v>16</v>
      </c>
      <c r="T5" s="6">
        <v>549749.07000000007</v>
      </c>
    </row>
    <row r="6" spans="1:20" x14ac:dyDescent="0.3">
      <c r="A6" s="7" t="s">
        <v>242</v>
      </c>
      <c r="D6" s="5" t="s">
        <v>25</v>
      </c>
      <c r="E6" s="6">
        <v>1461813.34</v>
      </c>
      <c r="F6" t="str">
        <f t="shared" ref="F6:F16" si="0">D6</f>
        <v>Monitors</v>
      </c>
      <c r="G6">
        <f>GETPIVOTDATA("sales",D5,"Sub-Category","Monitors")</f>
        <v>1461813.34</v>
      </c>
      <c r="J6" s="5">
        <v>2025</v>
      </c>
      <c r="K6" s="11">
        <v>94</v>
      </c>
      <c r="M6" s="5" t="s">
        <v>105</v>
      </c>
      <c r="N6" s="6">
        <v>566404.05000000005</v>
      </c>
      <c r="P6" s="5" t="s">
        <v>192</v>
      </c>
      <c r="Q6" s="6">
        <v>23278.33</v>
      </c>
      <c r="S6" s="5" t="s">
        <v>68</v>
      </c>
      <c r="T6" s="6">
        <v>369405.28000000009</v>
      </c>
    </row>
    <row r="7" spans="1:20" x14ac:dyDescent="0.3">
      <c r="A7" s="6" t="s">
        <v>237</v>
      </c>
      <c r="D7" s="5" t="s">
        <v>29</v>
      </c>
      <c r="E7" s="6">
        <v>1218949.47</v>
      </c>
      <c r="F7" t="str">
        <f t="shared" si="0"/>
        <v>Envelopes</v>
      </c>
      <c r="G7">
        <f>GETPIVOTDATA("sales",$D$5,"Sub-Category","Envelopes")</f>
        <v>1218949.47</v>
      </c>
      <c r="J7" s="5" t="s">
        <v>240</v>
      </c>
      <c r="K7" s="11">
        <v>183</v>
      </c>
      <c r="M7" s="5" t="s">
        <v>34</v>
      </c>
      <c r="N7" s="6">
        <v>475047.1</v>
      </c>
      <c r="P7" s="5" t="s">
        <v>69</v>
      </c>
      <c r="Q7" s="6">
        <v>28436.26</v>
      </c>
      <c r="S7" s="5" t="s">
        <v>19</v>
      </c>
      <c r="T7" s="6">
        <v>1029968.03</v>
      </c>
    </row>
    <row r="8" spans="1:20" x14ac:dyDescent="0.3">
      <c r="A8" s="6">
        <v>1666057.2099999997</v>
      </c>
      <c r="B8" s="9">
        <f>GETPIVOTDATA("Profit ",$A$7)</f>
        <v>1666057.2099999997</v>
      </c>
      <c r="D8" s="5" t="s">
        <v>21</v>
      </c>
      <c r="E8" s="6">
        <v>1069375.05</v>
      </c>
      <c r="F8" t="str">
        <f t="shared" si="0"/>
        <v>Bookcases</v>
      </c>
      <c r="G8">
        <f>GETPIVOTDATA("sales",$D$5,"Sub-Category","Bookcases")</f>
        <v>1069375.05</v>
      </c>
      <c r="M8" s="5" t="s">
        <v>50</v>
      </c>
      <c r="N8" s="6">
        <v>364174.95</v>
      </c>
      <c r="P8" s="5" t="s">
        <v>80</v>
      </c>
      <c r="Q8" s="6">
        <v>28979.1</v>
      </c>
      <c r="S8" s="5" t="s">
        <v>11</v>
      </c>
      <c r="T8" s="6">
        <v>1386255.5099999998</v>
      </c>
    </row>
    <row r="9" spans="1:20" x14ac:dyDescent="0.3">
      <c r="D9" s="5" t="s">
        <v>10</v>
      </c>
      <c r="E9" s="6">
        <v>968220.3</v>
      </c>
      <c r="F9" t="str">
        <f t="shared" si="0"/>
        <v>Labels</v>
      </c>
      <c r="G9">
        <f>GETPIVOTDATA("sales",$D$5,"Sub-Category","Labels")</f>
        <v>968220.3</v>
      </c>
      <c r="M9" s="5" t="s">
        <v>74</v>
      </c>
      <c r="N9" s="6">
        <v>581257.89000000013</v>
      </c>
      <c r="P9" s="5" t="s">
        <v>240</v>
      </c>
      <c r="Q9" s="6">
        <v>124751.67</v>
      </c>
      <c r="S9" s="5" t="s">
        <v>44</v>
      </c>
      <c r="T9" s="6">
        <v>682102.08000000007</v>
      </c>
    </row>
    <row r="10" spans="1:20" x14ac:dyDescent="0.3">
      <c r="D10" s="5" t="s">
        <v>57</v>
      </c>
      <c r="E10" s="6">
        <v>808891.55</v>
      </c>
      <c r="F10" t="str">
        <f t="shared" si="0"/>
        <v>Chairs</v>
      </c>
      <c r="G10">
        <f>GETPIVOTDATA("sales",$D$5,"Sub-Category","Chairs")</f>
        <v>808891.55</v>
      </c>
      <c r="M10" s="5" t="s">
        <v>84</v>
      </c>
      <c r="N10" s="6">
        <v>501272.94</v>
      </c>
      <c r="S10" s="5" t="s">
        <v>26</v>
      </c>
      <c r="T10" s="6">
        <v>774149.40999999992</v>
      </c>
    </row>
    <row r="11" spans="1:20" x14ac:dyDescent="0.3">
      <c r="D11" s="5" t="s">
        <v>37</v>
      </c>
      <c r="E11" s="6">
        <v>649005.58000000007</v>
      </c>
      <c r="F11" t="str">
        <f t="shared" si="0"/>
        <v>Accessories</v>
      </c>
      <c r="G11">
        <f>GETPIVOTDATA("sales",$D$5,"Sub-Category","Accessories")</f>
        <v>649005.58000000007</v>
      </c>
      <c r="M11" s="5" t="s">
        <v>64</v>
      </c>
      <c r="N11" s="6">
        <v>592111.4</v>
      </c>
      <c r="S11" s="5" t="s">
        <v>40</v>
      </c>
      <c r="T11" s="6">
        <v>600255.62000000011</v>
      </c>
    </row>
    <row r="12" spans="1:20" x14ac:dyDescent="0.3">
      <c r="D12" s="5" t="s">
        <v>43</v>
      </c>
      <c r="E12" s="6">
        <v>647371.78</v>
      </c>
      <c r="F12" t="str">
        <f t="shared" si="0"/>
        <v>Paper</v>
      </c>
      <c r="G12">
        <f>GETPIVOTDATA("sales",$D$5,"Sub-Category","Paper")</f>
        <v>647371.78</v>
      </c>
      <c r="M12" s="5" t="s">
        <v>42</v>
      </c>
      <c r="N12" s="6">
        <v>666483.98999999987</v>
      </c>
      <c r="S12" s="5" t="s">
        <v>65</v>
      </c>
      <c r="T12" s="6">
        <v>865925.2</v>
      </c>
    </row>
    <row r="13" spans="1:20" x14ac:dyDescent="0.3">
      <c r="D13" s="5" t="s">
        <v>75</v>
      </c>
      <c r="E13" s="6">
        <v>628927.74</v>
      </c>
      <c r="F13" t="str">
        <f t="shared" si="0"/>
        <v>Tables</v>
      </c>
      <c r="G13">
        <f>GETPIVOTDATA("sales",$D$5,"Sub-Category","Tables")</f>
        <v>628927.74</v>
      </c>
      <c r="M13" s="5" t="s">
        <v>54</v>
      </c>
      <c r="N13" s="6">
        <v>661631.19999999995</v>
      </c>
      <c r="S13" s="5" t="s">
        <v>22</v>
      </c>
      <c r="T13" s="6">
        <v>1071664.7500000002</v>
      </c>
    </row>
    <row r="14" spans="1:20" x14ac:dyDescent="0.3">
      <c r="D14" s="5" t="s">
        <v>55</v>
      </c>
      <c r="E14" s="6">
        <v>628360.04</v>
      </c>
      <c r="F14" t="str">
        <f t="shared" si="0"/>
        <v>Phones</v>
      </c>
      <c r="G14">
        <f>GETPIVOTDATA("sales",$D$5,"Sub-Category","Phones")</f>
        <v>628360.04</v>
      </c>
      <c r="M14" s="5" t="s">
        <v>72</v>
      </c>
      <c r="N14" s="6">
        <v>688181.83000000007</v>
      </c>
      <c r="S14" s="5" t="s">
        <v>47</v>
      </c>
      <c r="T14" s="6">
        <v>623240.59000000008</v>
      </c>
    </row>
    <row r="15" spans="1:20" x14ac:dyDescent="0.3">
      <c r="D15" s="5" t="s">
        <v>70</v>
      </c>
      <c r="E15" s="6">
        <v>563059.28</v>
      </c>
      <c r="F15" t="str">
        <f t="shared" si="0"/>
        <v>Laptops</v>
      </c>
      <c r="G15">
        <f>GETPIVOTDATA("sales",$D$5,"Sub-Category","Laptops")</f>
        <v>563059.28</v>
      </c>
      <c r="M15" s="5" t="s">
        <v>8</v>
      </c>
      <c r="N15" s="6">
        <v>464897.64999999997</v>
      </c>
      <c r="S15" s="5" t="s">
        <v>30</v>
      </c>
      <c r="T15" s="6">
        <v>897412.08</v>
      </c>
    </row>
    <row r="16" spans="1:20" x14ac:dyDescent="0.3">
      <c r="D16" s="5" t="s">
        <v>35</v>
      </c>
      <c r="E16" s="6">
        <v>519106.19000000006</v>
      </c>
      <c r="F16" t="str">
        <f t="shared" si="0"/>
        <v>Binders</v>
      </c>
      <c r="G16">
        <f>GETPIVOTDATA("sales",$D$5,"Sub-Category","Binders")</f>
        <v>519106.19000000006</v>
      </c>
      <c r="M16" s="5" t="s">
        <v>39</v>
      </c>
      <c r="N16" s="6">
        <v>474776.31999999995</v>
      </c>
      <c r="S16" s="5" t="s">
        <v>240</v>
      </c>
      <c r="T16" s="6">
        <v>9675232.1400000006</v>
      </c>
    </row>
    <row r="17" spans="3:14" x14ac:dyDescent="0.3">
      <c r="D17" s="5" t="s">
        <v>15</v>
      </c>
      <c r="E17" s="6">
        <v>512151.81999999995</v>
      </c>
      <c r="F17" t="str">
        <f t="shared" ref="F17" si="1">D17</f>
        <v>Furnishings</v>
      </c>
      <c r="G17">
        <f>GETPIVOTDATA("sales",$D$5,"Sub-Category","Furnishings")</f>
        <v>512151.81999999995</v>
      </c>
      <c r="M17" s="5" t="s">
        <v>28</v>
      </c>
      <c r="N17" s="6">
        <v>540216.65</v>
      </c>
    </row>
    <row r="18" spans="3:14" x14ac:dyDescent="0.3">
      <c r="D18" s="5" t="s">
        <v>240</v>
      </c>
      <c r="E18" s="6">
        <v>9675232.1399999987</v>
      </c>
      <c r="M18" s="5" t="s">
        <v>32</v>
      </c>
      <c r="N18" s="6">
        <v>474783.81000000011</v>
      </c>
    </row>
    <row r="19" spans="3:14" x14ac:dyDescent="0.3">
      <c r="M19" s="5" t="s">
        <v>59</v>
      </c>
      <c r="N19" s="6">
        <v>486183.69000000006</v>
      </c>
    </row>
    <row r="20" spans="3:14" x14ac:dyDescent="0.3">
      <c r="M20" s="5" t="s">
        <v>18</v>
      </c>
      <c r="N20" s="6">
        <v>271651.58999999997</v>
      </c>
    </row>
    <row r="21" spans="3:14" x14ac:dyDescent="0.3">
      <c r="M21" s="5" t="s">
        <v>46</v>
      </c>
      <c r="N21" s="6">
        <v>614565.69000000006</v>
      </c>
    </row>
    <row r="22" spans="3:14" x14ac:dyDescent="0.3">
      <c r="M22" s="5" t="s">
        <v>240</v>
      </c>
      <c r="N22" s="6">
        <v>9675232.1400000025</v>
      </c>
    </row>
    <row r="23" spans="3:14" x14ac:dyDescent="0.3">
      <c r="C23" s="7" t="s">
        <v>238</v>
      </c>
      <c r="D23" s="8"/>
    </row>
    <row r="24" spans="3:14" x14ac:dyDescent="0.3">
      <c r="C24" s="4" t="s">
        <v>237</v>
      </c>
      <c r="D24" s="4" t="s">
        <v>250</v>
      </c>
    </row>
    <row r="25" spans="3:14" x14ac:dyDescent="0.3">
      <c r="C25" s="4" t="s">
        <v>239</v>
      </c>
      <c r="D25" t="s">
        <v>14</v>
      </c>
      <c r="E25" t="s">
        <v>9</v>
      </c>
      <c r="F25" t="s">
        <v>24</v>
      </c>
      <c r="G25" t="s">
        <v>240</v>
      </c>
    </row>
    <row r="26" spans="3:14" x14ac:dyDescent="0.3">
      <c r="C26" s="5">
        <v>2023</v>
      </c>
      <c r="D26" s="6">
        <v>19585.150000000001</v>
      </c>
      <c r="E26" s="6">
        <v>7685.19</v>
      </c>
      <c r="F26" s="6">
        <v>9424.2900000000009</v>
      </c>
      <c r="G26" s="6">
        <v>36694.630000000005</v>
      </c>
    </row>
    <row r="27" spans="3:14" x14ac:dyDescent="0.3">
      <c r="C27" s="5">
        <v>2024</v>
      </c>
      <c r="D27" s="6">
        <v>203019.34</v>
      </c>
      <c r="E27" s="6">
        <v>286769.80000000005</v>
      </c>
      <c r="F27" s="6">
        <v>218671.72</v>
      </c>
      <c r="G27" s="6">
        <v>708460.86</v>
      </c>
    </row>
    <row r="28" spans="3:14" x14ac:dyDescent="0.3">
      <c r="C28" s="5">
        <v>2025</v>
      </c>
      <c r="D28" s="6">
        <v>238822.01000000004</v>
      </c>
      <c r="E28" s="6">
        <v>312522.05000000005</v>
      </c>
      <c r="F28" s="6">
        <v>369557.66</v>
      </c>
      <c r="G28" s="6">
        <v>920901.72</v>
      </c>
    </row>
    <row r="29" spans="3:14" x14ac:dyDescent="0.3">
      <c r="C29" s="5" t="s">
        <v>240</v>
      </c>
      <c r="D29" s="6">
        <v>461426.5</v>
      </c>
      <c r="E29" s="6">
        <v>606977.04</v>
      </c>
      <c r="F29" s="6">
        <v>597653.66999999993</v>
      </c>
      <c r="G29" s="6">
        <v>1666057.21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227E5-9D7E-4B70-83F8-A05AAA90D850}">
  <dimension ref="AC11:AE29"/>
  <sheetViews>
    <sheetView showGridLines="0" tabSelected="1" zoomScale="56" zoomScaleNormal="123" workbookViewId="0">
      <selection activeCell="AC22" sqref="AC22"/>
    </sheetView>
  </sheetViews>
  <sheetFormatPr defaultRowHeight="14.4" x14ac:dyDescent="0.3"/>
  <cols>
    <col min="29" max="29" width="15.88671875" bestFit="1" customWidth="1"/>
    <col min="30" max="30" width="10.109375" bestFit="1" customWidth="1"/>
    <col min="31" max="31" width="15.44140625" bestFit="1" customWidth="1"/>
    <col min="33" max="33" width="9" bestFit="1" customWidth="1"/>
  </cols>
  <sheetData>
    <row r="11" spans="30:30" x14ac:dyDescent="0.3">
      <c r="AD11" s="10"/>
    </row>
    <row r="29" spans="29:31" x14ac:dyDescent="0.3">
      <c r="AC29" s="9"/>
      <c r="AE29"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sales_profit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dc:creator>
  <cp:lastModifiedBy>Sourav Chowhan</cp:lastModifiedBy>
  <dcterms:created xsi:type="dcterms:W3CDTF">2025-07-24T19:04:16Z</dcterms:created>
  <dcterms:modified xsi:type="dcterms:W3CDTF">2025-07-25T19:39:42Z</dcterms:modified>
</cp:coreProperties>
</file>